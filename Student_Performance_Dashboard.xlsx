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_Studen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<sst xmlns="http://schemas.openxmlformats.org/spreadsheetml/2006/main" count="116" uniqueCount="63">
  <si>
    <t xml:space="preserve">Student Performance Analytics Dashboard</t>
  </si>
  <si>
    <t xml:space="preserve">Portfolio project by Siphosethu Nomthandazo Nkala</t>
  </si>
  <si>
    <t xml:space="preserve">Total Students</t>
  </si>
  <si>
    <t xml:space="preserve">Pass Rate</t>
  </si>
  <si>
    <t xml:space="preserve">Avg Term 2 Score</t>
  </si>
  <si>
    <t xml:space="preserve">Avg Attendance</t>
  </si>
  <si>
    <t xml:space="preserve">Pass Rate by Subject</t>
  </si>
  <si>
    <t xml:space="preserve">Average Term 2 Score by Grade</t>
  </si>
  <si>
    <t xml:space="preserve">Subject</t>
  </si>
  <si>
    <t xml:space="preserve">Students</t>
  </si>
  <si>
    <t xml:space="preserve">Grade</t>
  </si>
  <si>
    <t xml:space="preserve">History</t>
  </si>
  <si>
    <t xml:space="preserve">Grade 10</t>
  </si>
  <si>
    <t xml:space="preserve">Mathematics</t>
  </si>
  <si>
    <t xml:space="preserve">Grade 11</t>
  </si>
  <si>
    <t xml:space="preserve">Science</t>
  </si>
  <si>
    <t xml:space="preserve">Grade 12</t>
  </si>
  <si>
    <t xml:space="preserve">Term 1 to Term 2 Score Change (Top Movers)</t>
  </si>
  <si>
    <t xml:space="preserve">Attendance Risk List (Below 90%)</t>
  </si>
  <si>
    <t xml:space="preserve">Name</t>
  </si>
  <si>
    <t xml:space="preserve">Term 1</t>
  </si>
  <si>
    <t xml:space="preserve">Term 2</t>
  </si>
  <si>
    <t xml:space="preserve">Change</t>
  </si>
  <si>
    <t xml:space="preserve">Attendance</t>
  </si>
  <si>
    <t xml:space="preserve">Pass/Fail</t>
  </si>
  <si>
    <t xml:space="preserve">Status</t>
  </si>
  <si>
    <t xml:space="preserve">Count</t>
  </si>
  <si>
    <t xml:space="preserve">Pass</t>
  </si>
  <si>
    <t xml:space="preserve">Fail</t>
  </si>
  <si>
    <t xml:space="preserve">Student ID</t>
  </si>
  <si>
    <t xml:space="preserve">Grade Level</t>
  </si>
  <si>
    <t xml:space="preserve">Term 1 Score</t>
  </si>
  <si>
    <t xml:space="preserve">Term 2 Score</t>
  </si>
  <si>
    <t xml:space="preserve">STU06</t>
  </si>
  <si>
    <t xml:space="preserve">Amara Okafor</t>
  </si>
  <si>
    <t xml:space="preserve">STU14</t>
  </si>
  <si>
    <t xml:space="preserve">Ava Mokoena</t>
  </si>
  <si>
    <t xml:space="preserve">STU08</t>
  </si>
  <si>
    <t xml:space="preserve">Chloe De Beer</t>
  </si>
  <si>
    <t xml:space="preserve">STU11</t>
  </si>
  <si>
    <t xml:space="preserve">Elijah Jones</t>
  </si>
  <si>
    <t xml:space="preserve">STU03</t>
  </si>
  <si>
    <t xml:space="preserve">Ethan Smith</t>
  </si>
  <si>
    <t xml:space="preserve">STU04</t>
  </si>
  <si>
    <t xml:space="preserve">Fatima Patel</t>
  </si>
  <si>
    <t xml:space="preserve">STU01</t>
  </si>
  <si>
    <t xml:space="preserve">Liam Naidoo</t>
  </si>
  <si>
    <t xml:space="preserve">STU09</t>
  </si>
  <si>
    <t xml:space="preserve">Lucas Sithole</t>
  </si>
  <si>
    <t xml:space="preserve">STU15</t>
  </si>
  <si>
    <t xml:space="preserve">Mason van Wyk</t>
  </si>
  <si>
    <t xml:space="preserve">STU12</t>
  </si>
  <si>
    <t xml:space="preserve">Mia Ndlovu</t>
  </si>
  <si>
    <t xml:space="preserve">STU02</t>
  </si>
  <si>
    <t xml:space="preserve">Minenhle Khumalo</t>
  </si>
  <si>
    <t xml:space="preserve">STU05</t>
  </si>
  <si>
    <t xml:space="preserve">Noah Jansen</t>
  </si>
  <si>
    <t xml:space="preserve">STU13</t>
  </si>
  <si>
    <t xml:space="preserve">Oliver Taylor</t>
  </si>
  <si>
    <t xml:space="preserve">STU10</t>
  </si>
  <si>
    <t xml:space="preserve">Sophia Govender</t>
  </si>
  <si>
    <t xml:space="preserve">STU07</t>
  </si>
  <si>
    <t xml:space="preserve">Zayd Williams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</si>
</sst>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Pass Rate by Subject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Dashboard!C10</c:f>
              <c:strCache>
                <c:ptCount val="1"/>
                <c:pt idx="0">
                  <c:v>Pass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Dashboard!$A$11:$A$13</c:f>
              <c:strCache>
                <c:ptCount val="3"/>
                <c:pt idx="0">
                  <c:v>History</c:v>
                </c:pt>
                <c:pt idx="1">
                  <c:v>Mathematics</c:v>
                </c:pt>
                <c:pt idx="2">
                  <c:v>Science</c:v>
                </c:pt>
              </c:strCache>
            </c:strRef>
          </c:cat>
          <c:val>
            <c:numRef>
              <c:f>Dashboard!$C$11:$C$13</c:f>
              <c:numCache>
                <c:formatCode>0%</c:formatCode>
                <c:ptCount val="3"/>
                <c:pt idx="0">
                  <c:v>1</c:v>
                </c:pt>
                <c:pt idx="1">
                  <c:v>0.8</c:v>
                </c:pt>
                <c:pt idx="2">
                  <c:v>0.666666666666667</c:v>
                </c:pt>
              </c:numCache>
            </c:numRef>
          </c:val>
        </c:ser>
        <c:gapWidth val="150"/>
        <c:overlap val="0"/>
        <c:axId val="38014345"/>
        <c:axId val="40461290"/>
      </c:barChart>
      <c:catAx>
        <c:axId val="380143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461290"/>
        <c:crosses val="autoZero"/>
        <c:auto val="1"/>
        <c:lblAlgn val="ctr"/>
        <c:lblOffset val="100"/>
        <c:noMultiLvlLbl val="0"/>
      </c:catAx>
      <c:valAx>
        <c:axId val="404612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0143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Term 2 Score by Grade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Dashboard!G10</c:f>
              <c:strCache>
                <c:ptCount val="1"/>
                <c:pt idx="0">
                  <c:v>Avg Term 2 Score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Dashboard!$E$11:$E$13</c:f>
              <c:strCache>
                <c:ptCount val="3"/>
                <c:pt idx="0">
                  <c:v>Grade 10</c:v>
                </c:pt>
                <c:pt idx="1">
                  <c:v>Grade 11</c:v>
                </c:pt>
                <c:pt idx="2">
                  <c:v>Grade 12</c:v>
                </c:pt>
              </c:strCache>
            </c:strRef>
          </c:cat>
          <c:val>
            <c:numRef>
              <c:f>Dashboard!$G$11:$G$13</c:f>
              <c:numCache>
                <c:formatCode>General</c:formatCode>
                <c:ptCount val="3"/>
                <c:pt idx="0">
                  <c:v>69.3</c:v>
                </c:pt>
                <c:pt idx="1">
                  <c:v>75.4</c:v>
                </c:pt>
                <c:pt idx="2">
                  <c:v>66.8</c:v>
                </c:pt>
              </c:numCache>
            </c:numRef>
          </c:val>
        </c:ser>
        <c:gapWidth val="150"/>
        <c:overlap val="0"/>
        <c:axId val="59003850"/>
        <c:axId val="68152850"/>
      </c:barChart>
      <c:catAx>
        <c:axId val="590038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152850"/>
        <c:crosses val="autoZero"/>
        <c:auto val="1"/>
        <c:lblAlgn val="ctr"/>
        <c:lblOffset val="100"/>
        <c:noMultiLvlLbl val="0"/>
      </c:catAx>
      <c:valAx>
        <c:axId val="681528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0038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Pass vs Fail (Overall)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Dashboard!B50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Dashboard!$A$51:$A$52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Dashboard!$B$51:$B$52</c:f>
              <c:numCache>
                <c:formatCode>General</c:formatCode>
                <c:ptCount val="2"/>
                <c:pt idx="0">
                  <c:v>12</c:v>
                </c:pt>
                <c:pt idx="1">
                  <c:v>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32</xdr:row>
      <xdr:rowOff>131040</xdr:rowOff>
    </xdr:from>
    <xdr:to>
      <xdr:col>4</xdr:col>
      <xdr:colOff>294480</xdr:colOff>
      <xdr:row>45</xdr:row>
      <xdr:rowOff>173880</xdr:rowOff>
    </xdr:to>
    <xdr:graphicFrame>
      <xdr:nvGraphicFramePr>
        <xdr:cNvPr id="0" name="Chart 1"/>
        <xdr:cNvGraphicFramePr/>
      </xdr:nvGraphicFramePr>
      <xdr:xfrm>
        <a:off x="0" y="656280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32</xdr:row>
      <xdr:rowOff>131040</xdr:rowOff>
    </xdr:from>
    <xdr:to>
      <xdr:col>8</xdr:col>
      <xdr:colOff>12240</xdr:colOff>
      <xdr:row>45</xdr:row>
      <xdr:rowOff>173880</xdr:rowOff>
    </xdr:to>
    <xdr:graphicFrame>
      <xdr:nvGraphicFramePr>
        <xdr:cNvPr id="1" name="Chart 2"/>
        <xdr:cNvGraphicFramePr/>
      </xdr:nvGraphicFramePr>
      <xdr:xfrm>
        <a:off x="3665160" y="656280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54</xdr:row>
      <xdr:rowOff>130680</xdr:rowOff>
    </xdr:from>
    <xdr:to>
      <xdr:col>4</xdr:col>
      <xdr:colOff>294480</xdr:colOff>
      <xdr:row>67</xdr:row>
      <xdr:rowOff>173880</xdr:rowOff>
    </xdr:to>
    <xdr:graphicFrame>
      <xdr:nvGraphicFramePr>
        <xdr:cNvPr id="2" name="Chart 3"/>
        <xdr:cNvGraphicFramePr/>
      </xdr:nvGraphicFramePr>
      <xdr:xfrm>
        <a:off x="0" y="1075356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B4" s="3" t="s">
        <v>2</v>
      </c>
      <c r="C4" s="3"/>
      <c r="D4" s="3" t="s">
        <v>3</v>
      </c>
      <c r="E4" s="3"/>
      <c r="F4" s="3" t="s">
        <v>4</v>
      </c>
      <c r="G4" s="3"/>
      <c r="H4" s="3" t="s">
        <v>5</v>
      </c>
      <c r="I4" s="3"/>
    </row>
    <row r="5" customFormat="false" ht="30" hidden="false" customHeight="true" outlineLevel="0" collapsed="false">
      <c r="B5" s="4" t="n">
        <f aca="false">COUNTA(Data_Students!A2:A16)</f>
        <v>15</v>
      </c>
      <c r="C5" s="4"/>
      <c r="D5" s="5" t="n">
        <f aca="false">COUNTIF(Data_Students!H2:H16,"Pass")/COUNTA(Data_Students!H2:H16)</f>
        <v>0.8</v>
      </c>
      <c r="E5" s="5"/>
      <c r="F5" s="4" t="n">
        <f aca="false">ROUND(AVERAGE(Data_Students!F2:F16),1)</f>
        <v>70.7</v>
      </c>
      <c r="G5" s="4"/>
      <c r="H5" s="5" t="n">
        <f aca="false">AVERAGE(Data_Students!G2:G16)</f>
        <v>0.914</v>
      </c>
      <c r="I5" s="5"/>
    </row>
    <row r="6" customFormat="false" ht="15" hidden="false" customHeight="false" outlineLevel="0" collapsed="false">
      <c r="B6" s="4"/>
      <c r="C6" s="4"/>
      <c r="D6" s="5"/>
      <c r="E6" s="5"/>
      <c r="F6" s="4"/>
      <c r="G6" s="4"/>
      <c r="H6" s="5"/>
      <c r="I6" s="5"/>
    </row>
    <row r="9" customFormat="false" ht="15" hidden="false" customHeight="false" outlineLevel="0" collapsed="false">
      <c r="A9" s="6" t="s">
        <v>6</v>
      </c>
      <c r="E9" s="6" t="s">
        <v>7</v>
      </c>
    </row>
    <row r="10" customFormat="false" ht="15" hidden="false" customHeight="false" outlineLevel="0" collapsed="false">
      <c r="A10" s="7" t="s">
        <v>8</v>
      </c>
      <c r="B10" s="7" t="s">
        <v>9</v>
      </c>
      <c r="C10" s="7" t="s">
        <v>3</v>
      </c>
      <c r="E10" s="7" t="s">
        <v>10</v>
      </c>
      <c r="F10" s="7" t="s">
        <v>9</v>
      </c>
      <c r="G10" s="7" t="s">
        <v>4</v>
      </c>
    </row>
    <row r="11" customFormat="false" ht="15" hidden="false" customHeight="false" outlineLevel="0" collapsed="false">
      <c r="A11" s="8" t="s">
        <v>11</v>
      </c>
      <c r="B11" s="8" t="n">
        <f aca="false">COUNTIF(Data_Students!D2:D16,A11)</f>
        <v>4</v>
      </c>
      <c r="C11" s="9" t="n">
        <f aca="false">COUNTIFS(Data_Students!D2:D16,A11,Data_Students!H2:H16,"Pass")/B11</f>
        <v>1</v>
      </c>
      <c r="E11" s="8" t="s">
        <v>12</v>
      </c>
      <c r="F11" s="8" t="n">
        <f aca="false">COUNTIF(Data_Students!C2:C16,E11)</f>
        <v>6</v>
      </c>
      <c r="G11" s="8" t="n">
        <f aca="false">ROUND(AVERAGEIF(Data_Students!C2:C16,E11,Data_Students!F2:F16),1)</f>
        <v>69.3</v>
      </c>
    </row>
    <row r="12" customFormat="false" ht="15" hidden="false" customHeight="false" outlineLevel="0" collapsed="false">
      <c r="A12" s="8" t="s">
        <v>13</v>
      </c>
      <c r="B12" s="8" t="n">
        <f aca="false">COUNTIF(Data_Students!D2:D16,A12)</f>
        <v>5</v>
      </c>
      <c r="C12" s="9" t="n">
        <f aca="false">COUNTIFS(Data_Students!D2:D16,A12,Data_Students!H2:H16,"Pass")/B12</f>
        <v>0.8</v>
      </c>
      <c r="E12" s="8" t="s">
        <v>14</v>
      </c>
      <c r="F12" s="8" t="n">
        <f aca="false">COUNTIF(Data_Students!C2:C16,E12)</f>
        <v>5</v>
      </c>
      <c r="G12" s="8" t="n">
        <f aca="false">ROUND(AVERAGEIF(Data_Students!C2:C16,E12,Data_Students!F2:F16),1)</f>
        <v>75.4</v>
      </c>
    </row>
    <row r="13" customFormat="false" ht="15" hidden="false" customHeight="false" outlineLevel="0" collapsed="false">
      <c r="A13" s="8" t="s">
        <v>15</v>
      </c>
      <c r="B13" s="8" t="n">
        <f aca="false">COUNTIF(Data_Students!D2:D16,A13)</f>
        <v>6</v>
      </c>
      <c r="C13" s="9" t="n">
        <f aca="false">COUNTIFS(Data_Students!D2:D16,A13,Data_Students!H2:H16,"Pass")/B13</f>
        <v>0.666666666666667</v>
      </c>
      <c r="E13" s="8" t="s">
        <v>16</v>
      </c>
      <c r="F13" s="8" t="n">
        <f aca="false">COUNTIF(Data_Students!C2:C16,E13)</f>
        <v>4</v>
      </c>
      <c r="G13" s="8" t="n">
        <f aca="false">ROUND(AVERAGEIF(Data_Students!C2:C16,E13,Data_Students!F2:F16),1)</f>
        <v>66.8</v>
      </c>
    </row>
    <row r="17" customFormat="false" ht="15" hidden="false" customHeight="false" outlineLevel="0" collapsed="false">
      <c r="A17" s="6" t="s">
        <v>17</v>
      </c>
      <c r="F17" s="6" t="s">
        <v>18</v>
      </c>
    </row>
    <row r="18" customFormat="false" ht="15" hidden="false" customHeight="false" outlineLevel="0" collapsed="false">
      <c r="A18" s="7" t="s">
        <v>19</v>
      </c>
      <c r="B18" s="7" t="s">
        <v>20</v>
      </c>
      <c r="C18" s="7" t="s">
        <v>21</v>
      </c>
      <c r="D18" s="7" t="s">
        <v>22</v>
      </c>
      <c r="F18" s="7" t="s">
        <v>19</v>
      </c>
      <c r="G18" s="7" t="s">
        <v>23</v>
      </c>
      <c r="H18" s="7" t="s">
        <v>24</v>
      </c>
    </row>
    <row r="19" customFormat="false" ht="15" hidden="false" customHeight="false" outlineLevel="0" collapsed="false">
      <c r="A19" s="8" t="str">
        <f aca="false">Data_Students!B2</f>
        <v>Amara Okafor</v>
      </c>
      <c r="B19" s="8" t="n">
        <f aca="false">Data_Students!E2</f>
        <v>80</v>
      </c>
      <c r="C19" s="8" t="n">
        <f aca="false">Data_Students!F2</f>
        <v>85</v>
      </c>
      <c r="D19" s="8" t="n">
        <f aca="false">C19-B19</f>
        <v>5</v>
      </c>
      <c r="F19" s="8" t="str">
        <f aca="false">IF(Data_Students!G2&lt;0.9,Data_Students!B2,"")</f>
        <v/>
      </c>
      <c r="G19" s="9" t="str">
        <f aca="false">IF(Data_Students!G2&lt;0.9,Data_Students!G2,"")</f>
        <v/>
      </c>
      <c r="H19" s="8" t="str">
        <f aca="false">IF(Data_Students!G2&lt;0.9,Data_Students!H2,"")</f>
        <v/>
      </c>
    </row>
    <row r="20" customFormat="false" ht="15" hidden="false" customHeight="false" outlineLevel="0" collapsed="false">
      <c r="A20" s="8" t="str">
        <f aca="false">Data_Students!B3</f>
        <v>Ava Mokoena</v>
      </c>
      <c r="B20" s="8" t="n">
        <f aca="false">Data_Students!E3</f>
        <v>71</v>
      </c>
      <c r="C20" s="8" t="n">
        <f aca="false">Data_Students!F3</f>
        <v>75</v>
      </c>
      <c r="D20" s="8" t="n">
        <f aca="false">C20-B20</f>
        <v>4</v>
      </c>
      <c r="F20" s="8" t="str">
        <f aca="false">IF(Data_Students!G3&lt;0.9,Data_Students!B3,"")</f>
        <v/>
      </c>
      <c r="G20" s="9" t="str">
        <f aca="false">IF(Data_Students!G3&lt;0.9,Data_Students!G3,"")</f>
        <v/>
      </c>
      <c r="H20" s="8" t="str">
        <f aca="false">IF(Data_Students!G3&lt;0.9,Data_Students!H3,"")</f>
        <v/>
      </c>
    </row>
    <row r="21" customFormat="false" ht="15" hidden="false" customHeight="false" outlineLevel="0" collapsed="false">
      <c r="A21" s="8" t="str">
        <f aca="false">Data_Students!B4</f>
        <v>Chloe De Beer</v>
      </c>
      <c r="B21" s="8" t="n">
        <f aca="false">Data_Students!E4</f>
        <v>77</v>
      </c>
      <c r="C21" s="8" t="n">
        <f aca="false">Data_Students!F4</f>
        <v>81</v>
      </c>
      <c r="D21" s="8" t="n">
        <f aca="false">C21-B21</f>
        <v>4</v>
      </c>
      <c r="F21" s="8" t="str">
        <f aca="false">IF(Data_Students!G4&lt;0.9,Data_Students!B4,"")</f>
        <v/>
      </c>
      <c r="G21" s="9" t="str">
        <f aca="false">IF(Data_Students!G4&lt;0.9,Data_Students!G4,"")</f>
        <v/>
      </c>
      <c r="H21" s="8" t="str">
        <f aca="false">IF(Data_Students!G4&lt;0.9,Data_Students!H4,"")</f>
        <v/>
      </c>
    </row>
    <row r="22" customFormat="false" ht="15" hidden="false" customHeight="false" outlineLevel="0" collapsed="false">
      <c r="A22" s="8" t="str">
        <f aca="false">Data_Students!B5</f>
        <v>Elijah Jones</v>
      </c>
      <c r="B22" s="8" t="n">
        <f aca="false">Data_Students!E5</f>
        <v>52</v>
      </c>
      <c r="C22" s="8" t="n">
        <f aca="false">Data_Students!F5</f>
        <v>48</v>
      </c>
      <c r="D22" s="8" t="n">
        <f aca="false">C22-B22</f>
        <v>-4</v>
      </c>
      <c r="F22" s="8" t="str">
        <f aca="false">IF(Data_Students!G5&lt;0.9,Data_Students!B5,"")</f>
        <v>Elijah Jones</v>
      </c>
      <c r="G22" s="9" t="n">
        <f aca="false">IF(Data_Students!G5&lt;0.9,Data_Students!G5,"")</f>
        <v>0.84</v>
      </c>
      <c r="H22" s="8" t="str">
        <f aca="false">IF(Data_Students!G5&lt;0.9,Data_Students!H5,"")</f>
        <v>Pass</v>
      </c>
    </row>
    <row r="23" customFormat="false" ht="15" hidden="false" customHeight="false" outlineLevel="0" collapsed="false">
      <c r="A23" s="8" t="str">
        <f aca="false">Data_Students!B6</f>
        <v>Ethan Smith</v>
      </c>
      <c r="B23" s="8" t="n">
        <f aca="false">Data_Students!E6</f>
        <v>73</v>
      </c>
      <c r="C23" s="8" t="n">
        <f aca="false">Data_Students!F6</f>
        <v>71</v>
      </c>
      <c r="D23" s="8" t="n">
        <f aca="false">C23-B23</f>
        <v>-2</v>
      </c>
      <c r="F23" s="8" t="str">
        <f aca="false">IF(Data_Students!G6&lt;0.9,Data_Students!B6,"")</f>
        <v>Ethan Smith</v>
      </c>
      <c r="G23" s="9" t="n">
        <f aca="false">IF(Data_Students!G6&lt;0.9,Data_Students!G6,"")</f>
        <v>0.88</v>
      </c>
      <c r="H23" s="8" t="str">
        <f aca="false">IF(Data_Students!G6&lt;0.9,Data_Students!H6,"")</f>
        <v>Pass</v>
      </c>
    </row>
    <row r="24" customFormat="false" ht="15" hidden="false" customHeight="false" outlineLevel="0" collapsed="false">
      <c r="A24" s="8" t="str">
        <f aca="false">Data_Students!B7</f>
        <v>Fatima Patel</v>
      </c>
      <c r="B24" s="8" t="n">
        <f aca="false">Data_Students!E7</f>
        <v>91</v>
      </c>
      <c r="C24" s="8" t="n">
        <f aca="false">Data_Students!F7</f>
        <v>94</v>
      </c>
      <c r="D24" s="8" t="n">
        <f aca="false">C24-B24</f>
        <v>3</v>
      </c>
      <c r="F24" s="8" t="str">
        <f aca="false">IF(Data_Students!G7&lt;0.9,Data_Students!B7,"")</f>
        <v/>
      </c>
      <c r="G24" s="9" t="str">
        <f aca="false">IF(Data_Students!G7&lt;0.9,Data_Students!G7,"")</f>
        <v/>
      </c>
      <c r="H24" s="8" t="str">
        <f aca="false">IF(Data_Students!G7&lt;0.9,Data_Students!H7,"")</f>
        <v/>
      </c>
    </row>
    <row r="25" customFormat="false" ht="15" hidden="false" customHeight="false" outlineLevel="0" collapsed="false">
      <c r="A25" s="8" t="str">
        <f aca="false">Data_Students!B8</f>
        <v>Liam Naidoo</v>
      </c>
      <c r="B25" s="8" t="n">
        <f aca="false">Data_Students!E8</f>
        <v>85</v>
      </c>
      <c r="C25" s="8" t="n">
        <f aca="false">Data_Students!F8</f>
        <v>88</v>
      </c>
      <c r="D25" s="8" t="n">
        <f aca="false">C25-B25</f>
        <v>3</v>
      </c>
      <c r="F25" s="8" t="str">
        <f aca="false">IF(Data_Students!G8&lt;0.9,Data_Students!B8,"")</f>
        <v/>
      </c>
      <c r="G25" s="9" t="str">
        <f aca="false">IF(Data_Students!G8&lt;0.9,Data_Students!G8,"")</f>
        <v/>
      </c>
      <c r="H25" s="8" t="str">
        <f aca="false">IF(Data_Students!G8&lt;0.9,Data_Students!H8,"")</f>
        <v/>
      </c>
    </row>
    <row r="26" customFormat="false" ht="15" hidden="false" customHeight="false" outlineLevel="0" collapsed="false">
      <c r="A26" s="8" t="str">
        <f aca="false">Data_Students!B9</f>
        <v>Lucas Sithole</v>
      </c>
      <c r="B26" s="8" t="n">
        <f aca="false">Data_Students!E9</f>
        <v>49</v>
      </c>
      <c r="C26" s="8" t="n">
        <f aca="false">Data_Students!F9</f>
        <v>50</v>
      </c>
      <c r="D26" s="8" t="n">
        <f aca="false">C26-B26</f>
        <v>1</v>
      </c>
      <c r="F26" s="8" t="str">
        <f aca="false">IF(Data_Students!G9&lt;0.9,Data_Students!B9,"")</f>
        <v>Lucas Sithole</v>
      </c>
      <c r="G26" s="9" t="n">
        <f aca="false">IF(Data_Students!G9&lt;0.9,Data_Students!G9,"")</f>
        <v>0.87</v>
      </c>
      <c r="H26" s="8" t="str">
        <f aca="false">IF(Data_Students!G9&lt;0.9,Data_Students!H9,"")</f>
        <v>Fail</v>
      </c>
    </row>
    <row r="27" customFormat="false" ht="15" hidden="false" customHeight="false" outlineLevel="0" collapsed="false">
      <c r="A27" s="8" t="str">
        <f aca="false">Data_Students!B10</f>
        <v>Mason van Wyk</v>
      </c>
      <c r="B27" s="8" t="n">
        <f aca="false">Data_Students!E10</f>
        <v>35</v>
      </c>
      <c r="C27" s="8" t="n">
        <f aca="false">Data_Students!F10</f>
        <v>40</v>
      </c>
      <c r="D27" s="8" t="n">
        <f aca="false">C27-B27</f>
        <v>5</v>
      </c>
      <c r="F27" s="8" t="str">
        <f aca="false">IF(Data_Students!G10&lt;0.9,Data_Students!B10,"")</f>
        <v>Mason van Wyk</v>
      </c>
      <c r="G27" s="9" t="n">
        <f aca="false">IF(Data_Students!G10&lt;0.9,Data_Students!G10,"")</f>
        <v>0.82</v>
      </c>
      <c r="H27" s="8" t="str">
        <f aca="false">IF(Data_Students!G10&lt;0.9,Data_Students!H10,"")</f>
        <v>Fail</v>
      </c>
    </row>
    <row r="28" customFormat="false" ht="15" hidden="false" customHeight="false" outlineLevel="0" collapsed="false">
      <c r="A28" s="8" t="str">
        <f aca="false">Data_Students!B11</f>
        <v>Mia Ndlovu</v>
      </c>
      <c r="B28" s="8" t="n">
        <f aca="false">Data_Students!E11</f>
        <v>88</v>
      </c>
      <c r="C28" s="8" t="n">
        <f aca="false">Data_Students!F11</f>
        <v>90</v>
      </c>
      <c r="D28" s="8" t="n">
        <f aca="false">C28-B28</f>
        <v>2</v>
      </c>
      <c r="F28" s="8" t="str">
        <f aca="false">IF(Data_Students!G11&lt;0.9,Data_Students!B11,"")</f>
        <v/>
      </c>
      <c r="G28" s="9" t="str">
        <f aca="false">IF(Data_Students!G11&lt;0.9,Data_Students!G11,"")</f>
        <v/>
      </c>
      <c r="H28" s="8" t="str">
        <f aca="false">IF(Data_Students!G11&lt;0.9,Data_Students!H11,"")</f>
        <v/>
      </c>
    </row>
    <row r="29" customFormat="false" ht="15" hidden="false" customHeight="false" outlineLevel="0" collapsed="false">
      <c r="A29" s="8" t="str">
        <f aca="false">Data_Students!B12</f>
        <v>Minenhle Khumalo</v>
      </c>
      <c r="B29" s="8" t="n">
        <f aca="false">Data_Students!E12</f>
        <v>42</v>
      </c>
      <c r="C29" s="8" t="n">
        <f aca="false">Data_Students!F12</f>
        <v>55</v>
      </c>
      <c r="D29" s="8" t="n">
        <f aca="false">C29-B29</f>
        <v>13</v>
      </c>
      <c r="F29" s="8" t="str">
        <f aca="false">IF(Data_Students!G12&lt;0.9,Data_Students!B12,"")</f>
        <v/>
      </c>
      <c r="G29" s="9" t="str">
        <f aca="false">IF(Data_Students!G12&lt;0.9,Data_Students!G12,"")</f>
        <v/>
      </c>
      <c r="H29" s="8" t="str">
        <f aca="false">IF(Data_Students!G12&lt;0.9,Data_Students!H12,"")</f>
        <v/>
      </c>
    </row>
    <row r="30" customFormat="false" ht="15" hidden="false" customHeight="false" outlineLevel="0" collapsed="false">
      <c r="A30" s="8" t="str">
        <f aca="false">Data_Students!B13</f>
        <v>Noah Jansen</v>
      </c>
      <c r="B30" s="8" t="n">
        <f aca="false">Data_Students!E13</f>
        <v>58</v>
      </c>
      <c r="C30" s="8" t="n">
        <f aca="false">Data_Students!F13</f>
        <v>62</v>
      </c>
      <c r="D30" s="8" t="n">
        <f aca="false">C30-B30</f>
        <v>4</v>
      </c>
      <c r="F30" s="8" t="str">
        <f aca="false">IF(Data_Students!G13&lt;0.9,Data_Students!B13,"")</f>
        <v>Noah Jansen</v>
      </c>
      <c r="G30" s="9" t="n">
        <f aca="false">IF(Data_Students!G13&lt;0.9,Data_Students!G13,"")</f>
        <v>0.85</v>
      </c>
      <c r="H30" s="8" t="str">
        <f aca="false">IF(Data_Students!G13&lt;0.9,Data_Students!H13,"")</f>
        <v>Pass</v>
      </c>
    </row>
    <row r="31" customFormat="false" ht="15" hidden="false" customHeight="false" outlineLevel="0" collapsed="false">
      <c r="A31" s="8" t="str">
        <f aca="false">Data_Students!B14</f>
        <v>Oliver Taylor</v>
      </c>
      <c r="B31" s="8" t="n">
        <f aca="false">Data_Students!E14</f>
        <v>66</v>
      </c>
      <c r="C31" s="8" t="n">
        <f aca="false">Data_Students!F14</f>
        <v>70</v>
      </c>
      <c r="D31" s="8" t="n">
        <f aca="false">C31-B31</f>
        <v>4</v>
      </c>
      <c r="F31" s="8" t="str">
        <f aca="false">IF(Data_Students!G14&lt;0.9,Data_Students!B14,"")</f>
        <v/>
      </c>
      <c r="G31" s="9" t="str">
        <f aca="false">IF(Data_Students!G14&lt;0.9,Data_Students!G14,"")</f>
        <v/>
      </c>
      <c r="H31" s="8" t="str">
        <f aca="false">IF(Data_Students!G14&lt;0.9,Data_Students!H14,"")</f>
        <v/>
      </c>
    </row>
    <row r="32" customFormat="false" ht="15" hidden="false" customHeight="false" outlineLevel="0" collapsed="false">
      <c r="A32" s="8" t="str">
        <f aca="false">Data_Students!B15</f>
        <v>Sophia Govender</v>
      </c>
      <c r="B32" s="8" t="n">
        <f aca="false">Data_Students!E15</f>
        <v>95</v>
      </c>
      <c r="C32" s="8" t="n">
        <f aca="false">Data_Students!F15</f>
        <v>92</v>
      </c>
      <c r="D32" s="8" t="n">
        <f aca="false">C32-B32</f>
        <v>-3</v>
      </c>
      <c r="F32" s="8" t="str">
        <f aca="false">IF(Data_Students!G15&lt;0.9,Data_Students!B15,"")</f>
        <v/>
      </c>
      <c r="G32" s="9" t="str">
        <f aca="false">IF(Data_Students!G15&lt;0.9,Data_Students!G15,"")</f>
        <v/>
      </c>
      <c r="H32" s="8" t="str">
        <f aca="false">IF(Data_Students!G15&lt;0.9,Data_Students!H15,"")</f>
        <v/>
      </c>
    </row>
    <row r="33" customFormat="false" ht="15" hidden="false" customHeight="false" outlineLevel="0" collapsed="false">
      <c r="A33" s="8" t="str">
        <f aca="false">Data_Students!B16</f>
        <v>Zayd Williams</v>
      </c>
      <c r="B33" s="8" t="n">
        <f aca="false">Data_Students!E16</f>
        <v>64</v>
      </c>
      <c r="C33" s="8" t="n">
        <f aca="false">Data_Students!F16</f>
        <v>59</v>
      </c>
      <c r="D33" s="8" t="n">
        <f aca="false">C33-B33</f>
        <v>-5</v>
      </c>
      <c r="F33" s="8" t="str">
        <f aca="false">IF(Data_Students!G16&lt;0.9,Data_Students!B16,"")</f>
        <v/>
      </c>
      <c r="G33" s="9" t="str">
        <f aca="false">IF(Data_Students!G16&lt;0.9,Data_Students!G16,"")</f>
        <v/>
      </c>
      <c r="H33" s="8" t="str">
        <f aca="false">IF(Data_Students!G16&lt;0.9,Data_Students!H16,"")</f>
        <v/>
      </c>
    </row>
    <row r="50" customFormat="false" ht="15" hidden="false" customHeight="false" outlineLevel="0" collapsed="false">
      <c r="A50" s="0" t="s">
        <v>25</v>
      </c>
      <c r="B50" s="0" t="s">
        <v>26</v>
      </c>
    </row>
    <row r="51" customFormat="false" ht="15" hidden="false" customHeight="false" outlineLevel="0" collapsed="false">
      <c r="A51" s="0" t="s">
        <v>27</v>
      </c>
      <c r="B51" s="0" t="n">
        <f aca="false">COUNTIF(Data_Students!H2:H16,"Pass")</f>
        <v>12</v>
      </c>
    </row>
    <row r="52" customFormat="false" ht="15" hidden="false" customHeight="false" outlineLevel="0" collapsed="false">
      <c r="A52" s="0" t="s">
        <v>28</v>
      </c>
      <c r="B52" s="0" t="n">
        <f aca="false">COUNTIF(Data_Students!H2:H16,"Fail")</f>
        <v>3</v>
      </c>
    </row>
  </sheetData>
  <mergeCells count="10">
    <mergeCell ref="A1:H1"/>
    <mergeCell ref="A2:H2"/>
    <mergeCell ref="B4:C4"/>
    <mergeCell ref="D4:E4"/>
    <mergeCell ref="F4:G4"/>
    <mergeCell ref="H4:I4"/>
    <mergeCell ref="B5:C6"/>
    <mergeCell ref="D5:E6"/>
    <mergeCell ref="F5:G6"/>
    <mergeCell ref="H5:I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6" min="5" style="0" width="16"/>
    <col collapsed="false" customWidth="true" hidden="false" outlineLevel="0" max="7" min="7" style="0" width="14"/>
    <col collapsed="false" customWidth="true" hidden="false" outlineLevel="0" max="8" min="8" style="0" width="13"/>
  </cols>
  <sheetData>
    <row r="1" customFormat="false" ht="15" hidden="false" customHeight="false" outlineLevel="0" collapsed="false">
      <c r="A1" s="10" t="s">
        <v>29</v>
      </c>
      <c r="B1" s="10" t="s">
        <v>19</v>
      </c>
      <c r="C1" s="10" t="s">
        <v>30</v>
      </c>
      <c r="D1" s="10" t="s">
        <v>8</v>
      </c>
      <c r="E1" s="10" t="s">
        <v>31</v>
      </c>
      <c r="F1" s="10" t="s">
        <v>32</v>
      </c>
      <c r="G1" s="10" t="s">
        <v>23</v>
      </c>
      <c r="H1" s="10" t="s">
        <v>24</v>
      </c>
    </row>
    <row r="2" customFormat="false" ht="15" hidden="false" customHeight="false" outlineLevel="0" collapsed="false">
      <c r="A2" s="11" t="s">
        <v>33</v>
      </c>
      <c r="B2" s="11" t="s">
        <v>34</v>
      </c>
      <c r="C2" s="11" t="s">
        <v>16</v>
      </c>
      <c r="D2" s="11" t="s">
        <v>11</v>
      </c>
      <c r="E2" s="11" t="n">
        <v>80</v>
      </c>
      <c r="F2" s="11" t="n">
        <v>85</v>
      </c>
      <c r="G2" s="12" t="n">
        <v>0.96</v>
      </c>
      <c r="H2" s="11" t="s">
        <v>27</v>
      </c>
    </row>
    <row r="3" customFormat="false" ht="15" hidden="false" customHeight="false" outlineLevel="0" collapsed="false">
      <c r="A3" s="11" t="s">
        <v>35</v>
      </c>
      <c r="B3" s="11" t="s">
        <v>36</v>
      </c>
      <c r="C3" s="11" t="s">
        <v>16</v>
      </c>
      <c r="D3" s="11" t="s">
        <v>11</v>
      </c>
      <c r="E3" s="11" t="n">
        <v>71</v>
      </c>
      <c r="F3" s="11" t="n">
        <v>75</v>
      </c>
      <c r="G3" s="12" t="n">
        <v>0.94</v>
      </c>
      <c r="H3" s="11" t="s">
        <v>27</v>
      </c>
    </row>
    <row r="4" customFormat="false" ht="15" hidden="false" customHeight="false" outlineLevel="0" collapsed="false">
      <c r="A4" s="11" t="s">
        <v>37</v>
      </c>
      <c r="B4" s="11" t="s">
        <v>38</v>
      </c>
      <c r="C4" s="11" t="s">
        <v>12</v>
      </c>
      <c r="D4" s="11" t="s">
        <v>15</v>
      </c>
      <c r="E4" s="11" t="n">
        <v>77</v>
      </c>
      <c r="F4" s="11" t="n">
        <v>81</v>
      </c>
      <c r="G4" s="12" t="n">
        <v>0.93</v>
      </c>
      <c r="H4" s="11" t="s">
        <v>27</v>
      </c>
    </row>
    <row r="5" customFormat="false" ht="15" hidden="false" customHeight="false" outlineLevel="0" collapsed="false">
      <c r="A5" s="11" t="s">
        <v>39</v>
      </c>
      <c r="B5" s="11" t="s">
        <v>40</v>
      </c>
      <c r="C5" s="11" t="s">
        <v>16</v>
      </c>
      <c r="D5" s="11" t="s">
        <v>11</v>
      </c>
      <c r="E5" s="11" t="n">
        <v>52</v>
      </c>
      <c r="F5" s="11" t="n">
        <v>48</v>
      </c>
      <c r="G5" s="12" t="n">
        <v>0.84</v>
      </c>
      <c r="H5" s="11" t="s">
        <v>27</v>
      </c>
    </row>
    <row r="6" customFormat="false" ht="15" hidden="false" customHeight="false" outlineLevel="0" collapsed="false">
      <c r="A6" s="11" t="s">
        <v>41</v>
      </c>
      <c r="B6" s="11" t="s">
        <v>42</v>
      </c>
      <c r="C6" s="11" t="s">
        <v>14</v>
      </c>
      <c r="D6" s="11" t="s">
        <v>13</v>
      </c>
      <c r="E6" s="11" t="n">
        <v>73</v>
      </c>
      <c r="F6" s="11" t="n">
        <v>71</v>
      </c>
      <c r="G6" s="12" t="n">
        <v>0.88</v>
      </c>
      <c r="H6" s="11" t="s">
        <v>27</v>
      </c>
    </row>
    <row r="7" customFormat="false" ht="15" hidden="false" customHeight="false" outlineLevel="0" collapsed="false">
      <c r="A7" s="11" t="s">
        <v>43</v>
      </c>
      <c r="B7" s="11" t="s">
        <v>44</v>
      </c>
      <c r="C7" s="11" t="s">
        <v>14</v>
      </c>
      <c r="D7" s="11" t="s">
        <v>15</v>
      </c>
      <c r="E7" s="11" t="n">
        <v>91</v>
      </c>
      <c r="F7" s="11" t="n">
        <v>94</v>
      </c>
      <c r="G7" s="12" t="n">
        <v>0.98</v>
      </c>
      <c r="H7" s="11" t="s">
        <v>27</v>
      </c>
    </row>
    <row r="8" customFormat="false" ht="15" hidden="false" customHeight="false" outlineLevel="0" collapsed="false">
      <c r="A8" s="11" t="s">
        <v>45</v>
      </c>
      <c r="B8" s="11" t="s">
        <v>46</v>
      </c>
      <c r="C8" s="11" t="s">
        <v>12</v>
      </c>
      <c r="D8" s="11" t="s">
        <v>13</v>
      </c>
      <c r="E8" s="11" t="n">
        <v>85</v>
      </c>
      <c r="F8" s="11" t="n">
        <v>88</v>
      </c>
      <c r="G8" s="12" t="n">
        <v>0.95</v>
      </c>
      <c r="H8" s="11" t="s">
        <v>27</v>
      </c>
    </row>
    <row r="9" customFormat="false" ht="15" hidden="false" customHeight="false" outlineLevel="0" collapsed="false">
      <c r="A9" s="11" t="s">
        <v>47</v>
      </c>
      <c r="B9" s="11" t="s">
        <v>48</v>
      </c>
      <c r="C9" s="11" t="s">
        <v>14</v>
      </c>
      <c r="D9" s="11" t="s">
        <v>13</v>
      </c>
      <c r="E9" s="11" t="n">
        <v>49</v>
      </c>
      <c r="F9" s="11" t="n">
        <v>50</v>
      </c>
      <c r="G9" s="12" t="n">
        <v>0.87</v>
      </c>
      <c r="H9" s="11" t="s">
        <v>28</v>
      </c>
    </row>
    <row r="10" customFormat="false" ht="15" hidden="false" customHeight="false" outlineLevel="0" collapsed="false">
      <c r="A10" s="11" t="s">
        <v>49</v>
      </c>
      <c r="B10" s="11" t="s">
        <v>50</v>
      </c>
      <c r="C10" s="11" t="s">
        <v>12</v>
      </c>
      <c r="D10" s="11" t="s">
        <v>15</v>
      </c>
      <c r="E10" s="11" t="n">
        <v>35</v>
      </c>
      <c r="F10" s="11" t="n">
        <v>40</v>
      </c>
      <c r="G10" s="12" t="n">
        <v>0.82</v>
      </c>
      <c r="H10" s="11" t="s">
        <v>28</v>
      </c>
    </row>
    <row r="11" customFormat="false" ht="15" hidden="false" customHeight="false" outlineLevel="0" collapsed="false">
      <c r="A11" s="11" t="s">
        <v>51</v>
      </c>
      <c r="B11" s="11" t="s">
        <v>52</v>
      </c>
      <c r="C11" s="11" t="s">
        <v>12</v>
      </c>
      <c r="D11" s="11" t="s">
        <v>13</v>
      </c>
      <c r="E11" s="11" t="n">
        <v>88</v>
      </c>
      <c r="F11" s="11" t="n">
        <v>90</v>
      </c>
      <c r="G11" s="12" t="n">
        <v>0.97</v>
      </c>
      <c r="H11" s="11" t="s">
        <v>27</v>
      </c>
    </row>
    <row r="12" customFormat="false" ht="15" hidden="false" customHeight="false" outlineLevel="0" collapsed="false">
      <c r="A12" s="11" t="s">
        <v>53</v>
      </c>
      <c r="B12" s="11" t="s">
        <v>54</v>
      </c>
      <c r="C12" s="11" t="s">
        <v>12</v>
      </c>
      <c r="D12" s="11" t="s">
        <v>15</v>
      </c>
      <c r="E12" s="11" t="n">
        <v>42</v>
      </c>
      <c r="F12" s="11" t="n">
        <v>55</v>
      </c>
      <c r="G12" s="12" t="n">
        <v>0.91</v>
      </c>
      <c r="H12" s="11" t="s">
        <v>28</v>
      </c>
    </row>
    <row r="13" customFormat="false" ht="15" hidden="false" customHeight="false" outlineLevel="0" collapsed="false">
      <c r="A13" s="11" t="s">
        <v>55</v>
      </c>
      <c r="B13" s="11" t="s">
        <v>56</v>
      </c>
      <c r="C13" s="11" t="s">
        <v>12</v>
      </c>
      <c r="D13" s="11" t="s">
        <v>13</v>
      </c>
      <c r="E13" s="11" t="n">
        <v>58</v>
      </c>
      <c r="F13" s="11" t="n">
        <v>62</v>
      </c>
      <c r="G13" s="12" t="n">
        <v>0.85</v>
      </c>
      <c r="H13" s="11" t="s">
        <v>27</v>
      </c>
    </row>
    <row r="14" customFormat="false" ht="15" hidden="false" customHeight="false" outlineLevel="0" collapsed="false">
      <c r="A14" s="11" t="s">
        <v>57</v>
      </c>
      <c r="B14" s="11" t="s">
        <v>58</v>
      </c>
      <c r="C14" s="11" t="s">
        <v>14</v>
      </c>
      <c r="D14" s="11" t="s">
        <v>15</v>
      </c>
      <c r="E14" s="11" t="n">
        <v>66</v>
      </c>
      <c r="F14" s="11" t="n">
        <v>70</v>
      </c>
      <c r="G14" s="12" t="n">
        <v>0.92</v>
      </c>
      <c r="H14" s="11" t="s">
        <v>27</v>
      </c>
    </row>
    <row r="15" customFormat="false" ht="15" hidden="false" customHeight="false" outlineLevel="0" collapsed="false">
      <c r="A15" s="11" t="s">
        <v>59</v>
      </c>
      <c r="B15" s="11" t="s">
        <v>60</v>
      </c>
      <c r="C15" s="11" t="s">
        <v>14</v>
      </c>
      <c r="D15" s="11" t="s">
        <v>15</v>
      </c>
      <c r="E15" s="11" t="n">
        <v>95</v>
      </c>
      <c r="F15" s="11" t="n">
        <v>92</v>
      </c>
      <c r="G15" s="12" t="n">
        <v>0.99</v>
      </c>
      <c r="H15" s="11" t="s">
        <v>27</v>
      </c>
    </row>
    <row r="16" customFormat="false" ht="15" hidden="false" customHeight="false" outlineLevel="0" collapsed="false">
      <c r="A16" s="11" t="s">
        <v>61</v>
      </c>
      <c r="B16" s="11" t="s">
        <v>62</v>
      </c>
      <c r="C16" s="11" t="s">
        <v>16</v>
      </c>
      <c r="D16" s="11" t="s">
        <v>11</v>
      </c>
      <c r="E16" s="11" t="n">
        <v>64</v>
      </c>
      <c r="F16" s="11" t="n">
        <v>59</v>
      </c>
      <c r="G16" s="12" t="n">
        <v>0.9</v>
      </c>
      <c r="H16" s="11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2026-08-11T21:22:23Z</dcterms:created>
  <dc:creator>openpyxl</dc:creator>
  <dc:description/>
  <dc:language>en-US</dc:language>
  <cp:lastModifiedBy/>
  <dcterms:modified xsi:type="dcterms:W3CDTF">2026-08-11T21:22:26Z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