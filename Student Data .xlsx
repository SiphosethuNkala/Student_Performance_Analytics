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10469984\Downloads\"/>
    </mc:Choice>
  </mc:AlternateContent>
  <xr:revisionPtr revIDLastSave="0" documentId="8_{69DF833B-6F60-4AAA-A9E3-6527A2341B0B}" xr6:coauthVersionLast="47" xr6:coauthVersionMax="47" xr10:uidLastSave="{00000000-0000-0000-0000-000000000000}"/>
  <bookViews>
    <workbookView xWindow="-120" yWindow="-120" windowWidth="29040" windowHeight="15720" firstSheet="1" activeTab="1" xr2:uid="{C3E19615-724F-4182-A44C-C0B3876FC51B}"/>
  </bookViews>
  <sheets>
    <sheet name="Sales Data" sheetId="1" r:id="rId1"/>
    <sheet name="STudent" sheetId="2" r:id="rId2"/>
  </sheets>
  <definedNames>
    <definedName name="_xlnm._FilterDatabase" localSheetId="1" hidden="1">STudent!$D$1:$D$16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2" l="1"/>
  <c r="H6" i="2"/>
  <c r="H7" i="2"/>
  <c r="H13" i="2"/>
  <c r="H2" i="2"/>
  <c r="H16" i="2"/>
  <c r="H4" i="2"/>
  <c r="H9" i="2"/>
  <c r="H15" i="2"/>
  <c r="H5" i="2"/>
  <c r="H11" i="2"/>
  <c r="H14" i="2"/>
  <c r="H3" i="2"/>
  <c r="H10" i="2"/>
  <c r="H8" i="2"/>
  <c r="I28" i="2"/>
  <c r="I26" i="2"/>
  <c r="I22" i="2"/>
  <c r="I20" i="2"/>
  <c r="O18" i="2"/>
  <c r="I18" i="2"/>
  <c r="I32" i="2" l="1"/>
  <c r="I30" i="2"/>
</calcChain>
</file>

<file path=xl/sharedStrings.xml><?xml version="1.0" encoding="utf-8"?>
<sst xmlns="http://schemas.openxmlformats.org/spreadsheetml/2006/main" count="301" uniqueCount="136">
  <si>
    <t>OrderDate</t>
  </si>
  <si>
    <t>Region</t>
  </si>
  <si>
    <t>Rep</t>
  </si>
  <si>
    <t>Item</t>
  </si>
  <si>
    <t>Units</t>
  </si>
  <si>
    <t>UnitCost</t>
  </si>
  <si>
    <t>Total Cost</t>
  </si>
  <si>
    <t>1/6/2026</t>
  </si>
  <si>
    <t>East</t>
  </si>
  <si>
    <t>Jones</t>
  </si>
  <si>
    <t>Pencil</t>
  </si>
  <si>
    <t>1.99</t>
  </si>
  <si>
    <t>1/23/2026</t>
  </si>
  <si>
    <t>Central</t>
  </si>
  <si>
    <t>Kivell</t>
  </si>
  <si>
    <t>Binder</t>
  </si>
  <si>
    <t>19.99</t>
  </si>
  <si>
    <t>2/9/2026</t>
  </si>
  <si>
    <t>Jardine</t>
  </si>
  <si>
    <t>4.99</t>
  </si>
  <si>
    <t>2/26/2026</t>
  </si>
  <si>
    <t>Gill</t>
  </si>
  <si>
    <t>Pen</t>
  </si>
  <si>
    <t>3/15/2026</t>
  </si>
  <si>
    <t>West</t>
  </si>
  <si>
    <t>Sorvino</t>
  </si>
  <si>
    <t>2.99</t>
  </si>
  <si>
    <t>4/1/2026</t>
  </si>
  <si>
    <t>4/18/2026</t>
  </si>
  <si>
    <t>Andrews</t>
  </si>
  <si>
    <t>5/5/2026</t>
  </si>
  <si>
    <t>5/22/2026</t>
  </si>
  <si>
    <t>Thompson</t>
  </si>
  <si>
    <t>6/8/2026</t>
  </si>
  <si>
    <t>8.99</t>
  </si>
  <si>
    <t>6/25/2026</t>
  </si>
  <si>
    <t>Morgan</t>
  </si>
  <si>
    <t>7/12/2026</t>
  </si>
  <si>
    <t>Howard</t>
  </si>
  <si>
    <t>7/29/2026</t>
  </si>
  <si>
    <t>Parent</t>
  </si>
  <si>
    <t>8/15/2026</t>
  </si>
  <si>
    <t>9/1/2026</t>
  </si>
  <si>
    <t>Smith</t>
  </si>
  <si>
    <t>Desk</t>
  </si>
  <si>
    <t>125.00</t>
  </si>
  <si>
    <t>9/18/2026</t>
  </si>
  <si>
    <t>Pen Set</t>
  </si>
  <si>
    <t>15.99</t>
  </si>
  <si>
    <t>10/5/2026</t>
  </si>
  <si>
    <t>10/22/2026</t>
  </si>
  <si>
    <t>11/8/2026</t>
  </si>
  <si>
    <t>11/25/2026</t>
  </si>
  <si>
    <t>12/12/2026</t>
  </si>
  <si>
    <t>1.29</t>
  </si>
  <si>
    <t>12/29/2026</t>
  </si>
  <si>
    <t>1/15/2027</t>
  </si>
  <si>
    <t>2/1/2027</t>
  </si>
  <si>
    <t>15.00</t>
  </si>
  <si>
    <t>2/18/2027</t>
  </si>
  <si>
    <t>3/7/2027</t>
  </si>
  <si>
    <t>3/24/2027</t>
  </si>
  <si>
    <t>4/10/2027</t>
  </si>
  <si>
    <t>4/27/2027</t>
  </si>
  <si>
    <t>5/14/2027</t>
  </si>
  <si>
    <t>5/31/2027</t>
  </si>
  <si>
    <t>6/17/2027</t>
  </si>
  <si>
    <t>7/4/2027</t>
  </si>
  <si>
    <t>7/21/2027</t>
  </si>
  <si>
    <t>12.49</t>
  </si>
  <si>
    <t>8/7/2027</t>
  </si>
  <si>
    <t>23.95</t>
  </si>
  <si>
    <t>8/24/2027</t>
  </si>
  <si>
    <t>275.00</t>
  </si>
  <si>
    <t>9/10/2027</t>
  </si>
  <si>
    <t>9/27/2027</t>
  </si>
  <si>
    <t>10/14/2027</t>
  </si>
  <si>
    <t>10/31/2027</t>
  </si>
  <si>
    <t>11/17/2027</t>
  </si>
  <si>
    <t>12/4/2027</t>
  </si>
  <si>
    <t>12/21/2027</t>
  </si>
  <si>
    <t>Student ID</t>
  </si>
  <si>
    <t>Name</t>
  </si>
  <si>
    <t>Grade Level</t>
  </si>
  <si>
    <t>Subject</t>
  </si>
  <si>
    <t>Term 1 Score</t>
  </si>
  <si>
    <t>Term 2 Score</t>
  </si>
  <si>
    <t>Attendance</t>
  </si>
  <si>
    <t>STU01</t>
  </si>
  <si>
    <t>Liam Naidoo</t>
  </si>
  <si>
    <t>Grade 10</t>
  </si>
  <si>
    <t>Mathematics</t>
  </si>
  <si>
    <t>STU02</t>
  </si>
  <si>
    <t>Minenhle Khumalo</t>
  </si>
  <si>
    <t>Science</t>
  </si>
  <si>
    <t>STU03</t>
  </si>
  <si>
    <t>Ethan Smith</t>
  </si>
  <si>
    <t>Grade 11</t>
  </si>
  <si>
    <t>STU04</t>
  </si>
  <si>
    <t>Fatima Patel</t>
  </si>
  <si>
    <t>STU05</t>
  </si>
  <si>
    <t>Noah Jansen</t>
  </si>
  <si>
    <t>STU06</t>
  </si>
  <si>
    <t>Amara Okafor</t>
  </si>
  <si>
    <t>Grade 12</t>
  </si>
  <si>
    <t>History</t>
  </si>
  <si>
    <t>STU07</t>
  </si>
  <si>
    <t>Zayd Williams</t>
  </si>
  <si>
    <t>STU08</t>
  </si>
  <si>
    <t>Chloe De Beer</t>
  </si>
  <si>
    <t>STU09</t>
  </si>
  <si>
    <t>Lucas Sithole</t>
  </si>
  <si>
    <t>STU10</t>
  </si>
  <si>
    <t>Sophia Govender</t>
  </si>
  <si>
    <t>STU11</t>
  </si>
  <si>
    <t>Elijah Jones</t>
  </si>
  <si>
    <t>STU12</t>
  </si>
  <si>
    <t>Mia Ndlovu</t>
  </si>
  <si>
    <t>STU13</t>
  </si>
  <si>
    <t>Oliver Taylor</t>
  </si>
  <si>
    <t>STU14</t>
  </si>
  <si>
    <t>Ava Mokoena</t>
  </si>
  <si>
    <t>STU15</t>
  </si>
  <si>
    <t>Mason van Wyk</t>
  </si>
  <si>
    <t>Average for Term 1</t>
  </si>
  <si>
    <t>Highest Score for Term 2</t>
  </si>
  <si>
    <t>Lowest Score for Term 2</t>
  </si>
  <si>
    <t>Attendance below 90%</t>
  </si>
  <si>
    <t>Total no of students</t>
  </si>
  <si>
    <t xml:space="preserve">Count the no of student in Grade 10 </t>
  </si>
  <si>
    <t>Students &gt;50 (Term 1)</t>
  </si>
  <si>
    <t xml:space="preserve">Students &lt; 50 (Term 1) </t>
  </si>
  <si>
    <t>Sort your data by Name</t>
  </si>
  <si>
    <t>Filter subjects</t>
  </si>
  <si>
    <t>Total marks for Term 1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</si>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</sst>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Georgia"/>
      <family val="1"/>
    </font>
    <font>
      <b/>
      <sz val="12"/>
      <color rgb="FF333333"/>
      <name val="Georgia"/>
      <family val="1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FA"/>
        <bgColor indexed="64"/>
      </patternFill>
    </fill>
  </fills>
  <borders count="11">
    <border>
      <left/>
      <right/>
      <top/>
      <bottom/>
      <diagonal/>
    </border>
    <border>
      <left style="thin">
        <color rgb="FF6666FF"/>
      </left>
      <right/>
      <top style="thin">
        <color rgb="FF6666FF"/>
      </top>
      <bottom/>
      <diagonal/>
    </border>
    <border>
      <left/>
      <right/>
      <top style="thin">
        <color rgb="FF6666FF"/>
      </top>
      <bottom/>
      <diagonal/>
    </border>
    <border>
      <left/>
      <right style="thin">
        <color rgb="FF6666FF"/>
      </right>
      <top style="thin">
        <color rgb="FF6666FF"/>
      </top>
      <bottom/>
      <diagonal/>
    </border>
    <border>
      <left style="thin">
        <color rgb="FF6666FF"/>
      </left>
      <right/>
      <top/>
      <bottom/>
      <diagonal/>
    </border>
    <border>
      <left/>
      <right style="thin">
        <color rgb="FF6666FF"/>
      </right>
      <top/>
      <bottom/>
      <diagonal/>
    </border>
    <border>
      <left style="thin">
        <color rgb="FF6666FF"/>
      </left>
      <right/>
      <top/>
      <bottom style="thin">
        <color rgb="FF6666FF"/>
      </bottom>
      <diagonal/>
    </border>
    <border>
      <left/>
      <right/>
      <top/>
      <bottom style="thin">
        <color rgb="FF6666FF"/>
      </bottom>
      <diagonal/>
    </border>
    <border>
      <left/>
      <right style="thin">
        <color rgb="FF6666FF"/>
      </right>
      <top/>
      <bottom style="thin">
        <color rgb="FF6666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1" fillId="0" borderId="0" xfId="0" applyFont="1"/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9" fontId="5" fillId="0" borderId="9" xfId="0" applyNumberFormat="1" applyFont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0" fillId="0" borderId="9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8001-7528-4AA5-9903-17272E8AF6EC}">
  <dimension ref="A1:G44"/>
  <sheetViews>
    <sheetView workbookViewId="0">
      <selection activeCell="L6" sqref="L6"/>
    </sheetView>
  </sheetViews>
  <sheetFormatPr defaultRowHeight="15" x14ac:dyDescent="0.25"/>
  <cols>
    <col min="1" max="1" width="8.85546875" customWidth="1"/>
  </cols>
  <sheetData>
    <row r="1" spans="1:7" ht="30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spans="1:7" ht="30" x14ac:dyDescent="0.25">
      <c r="A2" s="7" t="s">
        <v>7</v>
      </c>
      <c r="B2" s="2" t="s">
        <v>8</v>
      </c>
      <c r="C2" s="2" t="s">
        <v>9</v>
      </c>
      <c r="D2" s="2" t="s">
        <v>10</v>
      </c>
      <c r="E2" s="1">
        <v>95</v>
      </c>
      <c r="F2" s="1" t="s">
        <v>11</v>
      </c>
      <c r="G2" s="8"/>
    </row>
    <row r="3" spans="1:7" ht="30" x14ac:dyDescent="0.25">
      <c r="A3" s="7" t="s">
        <v>12</v>
      </c>
      <c r="B3" s="2" t="s">
        <v>13</v>
      </c>
      <c r="C3" s="2" t="s">
        <v>14</v>
      </c>
      <c r="D3" s="2" t="s">
        <v>15</v>
      </c>
      <c r="E3" s="1">
        <v>50</v>
      </c>
      <c r="F3" s="1" t="s">
        <v>16</v>
      </c>
      <c r="G3" s="8"/>
    </row>
    <row r="4" spans="1:7" ht="30" x14ac:dyDescent="0.25">
      <c r="A4" s="7" t="s">
        <v>17</v>
      </c>
      <c r="B4" s="2" t="s">
        <v>13</v>
      </c>
      <c r="C4" s="2" t="s">
        <v>18</v>
      </c>
      <c r="D4" s="2" t="s">
        <v>10</v>
      </c>
      <c r="E4" s="1">
        <v>36</v>
      </c>
      <c r="F4" s="1" t="s">
        <v>19</v>
      </c>
      <c r="G4" s="8"/>
    </row>
    <row r="5" spans="1:7" ht="30" x14ac:dyDescent="0.25">
      <c r="A5" s="7" t="s">
        <v>20</v>
      </c>
      <c r="B5" s="2" t="s">
        <v>13</v>
      </c>
      <c r="C5" s="2" t="s">
        <v>21</v>
      </c>
      <c r="D5" s="2" t="s">
        <v>22</v>
      </c>
      <c r="E5" s="1">
        <v>27</v>
      </c>
      <c r="F5" s="1" t="s">
        <v>16</v>
      </c>
      <c r="G5" s="8"/>
    </row>
    <row r="6" spans="1:7" ht="30" x14ac:dyDescent="0.25">
      <c r="A6" s="7" t="s">
        <v>23</v>
      </c>
      <c r="B6" s="2" t="s">
        <v>24</v>
      </c>
      <c r="C6" s="2" t="s">
        <v>25</v>
      </c>
      <c r="D6" s="2" t="s">
        <v>10</v>
      </c>
      <c r="E6" s="1">
        <v>56</v>
      </c>
      <c r="F6" s="1" t="s">
        <v>26</v>
      </c>
      <c r="G6" s="8"/>
    </row>
    <row r="7" spans="1:7" ht="30" x14ac:dyDescent="0.25">
      <c r="A7" s="7" t="s">
        <v>27</v>
      </c>
      <c r="B7" s="2" t="s">
        <v>8</v>
      </c>
      <c r="C7" s="2" t="s">
        <v>9</v>
      </c>
      <c r="D7" s="2" t="s">
        <v>15</v>
      </c>
      <c r="E7" s="1">
        <v>60</v>
      </c>
      <c r="F7" s="1" t="s">
        <v>19</v>
      </c>
      <c r="G7" s="8"/>
    </row>
    <row r="8" spans="1:7" ht="30" x14ac:dyDescent="0.25">
      <c r="A8" s="7" t="s">
        <v>28</v>
      </c>
      <c r="B8" s="2" t="s">
        <v>13</v>
      </c>
      <c r="C8" s="2" t="s">
        <v>29</v>
      </c>
      <c r="D8" s="2" t="s">
        <v>10</v>
      </c>
      <c r="E8" s="1">
        <v>75</v>
      </c>
      <c r="F8" s="1" t="s">
        <v>11</v>
      </c>
      <c r="G8" s="8"/>
    </row>
    <row r="9" spans="1:7" ht="30" x14ac:dyDescent="0.25">
      <c r="A9" s="7" t="s">
        <v>30</v>
      </c>
      <c r="B9" s="2" t="s">
        <v>13</v>
      </c>
      <c r="C9" s="2" t="s">
        <v>18</v>
      </c>
      <c r="D9" s="2" t="s">
        <v>10</v>
      </c>
      <c r="E9" s="1">
        <v>90</v>
      </c>
      <c r="F9" s="1" t="s">
        <v>19</v>
      </c>
      <c r="G9" s="8"/>
    </row>
    <row r="10" spans="1:7" ht="30" x14ac:dyDescent="0.25">
      <c r="A10" s="7" t="s">
        <v>31</v>
      </c>
      <c r="B10" s="2" t="s">
        <v>24</v>
      </c>
      <c r="C10" s="2" t="s">
        <v>32</v>
      </c>
      <c r="D10" s="2" t="s">
        <v>10</v>
      </c>
      <c r="E10" s="1">
        <v>32</v>
      </c>
      <c r="F10" s="1" t="s">
        <v>11</v>
      </c>
      <c r="G10" s="8"/>
    </row>
    <row r="11" spans="1:7" ht="30" x14ac:dyDescent="0.25">
      <c r="A11" s="7" t="s">
        <v>33</v>
      </c>
      <c r="B11" s="2" t="s">
        <v>8</v>
      </c>
      <c r="C11" s="2" t="s">
        <v>9</v>
      </c>
      <c r="D11" s="2" t="s">
        <v>15</v>
      </c>
      <c r="E11" s="1">
        <v>60</v>
      </c>
      <c r="F11" s="1" t="s">
        <v>34</v>
      </c>
      <c r="G11" s="8"/>
    </row>
    <row r="12" spans="1:7" ht="30" x14ac:dyDescent="0.25">
      <c r="A12" s="7" t="s">
        <v>35</v>
      </c>
      <c r="B12" s="2" t="s">
        <v>13</v>
      </c>
      <c r="C12" s="2" t="s">
        <v>36</v>
      </c>
      <c r="D12" s="2" t="s">
        <v>10</v>
      </c>
      <c r="E12" s="1">
        <v>90</v>
      </c>
      <c r="F12" s="1" t="s">
        <v>19</v>
      </c>
      <c r="G12" s="8"/>
    </row>
    <row r="13" spans="1:7" ht="30" x14ac:dyDescent="0.25">
      <c r="A13" s="7" t="s">
        <v>37</v>
      </c>
      <c r="B13" s="2" t="s">
        <v>8</v>
      </c>
      <c r="C13" s="2" t="s">
        <v>38</v>
      </c>
      <c r="D13" s="2" t="s">
        <v>15</v>
      </c>
      <c r="E13" s="1">
        <v>29</v>
      </c>
      <c r="F13" s="1" t="s">
        <v>11</v>
      </c>
      <c r="G13" s="8"/>
    </row>
    <row r="14" spans="1:7" ht="30" x14ac:dyDescent="0.25">
      <c r="A14" s="7" t="s">
        <v>39</v>
      </c>
      <c r="B14" s="2" t="s">
        <v>8</v>
      </c>
      <c r="C14" s="2" t="s">
        <v>40</v>
      </c>
      <c r="D14" s="2" t="s">
        <v>15</v>
      </c>
      <c r="E14" s="1">
        <v>81</v>
      </c>
      <c r="F14" s="1" t="s">
        <v>16</v>
      </c>
      <c r="G14" s="8"/>
    </row>
    <row r="15" spans="1:7" ht="30" x14ac:dyDescent="0.25">
      <c r="A15" s="7" t="s">
        <v>41</v>
      </c>
      <c r="B15" s="2" t="s">
        <v>8</v>
      </c>
      <c r="C15" s="2" t="s">
        <v>9</v>
      </c>
      <c r="D15" s="2" t="s">
        <v>10</v>
      </c>
      <c r="E15" s="1">
        <v>35</v>
      </c>
      <c r="F15" s="1" t="s">
        <v>19</v>
      </c>
      <c r="G15" s="8"/>
    </row>
    <row r="16" spans="1:7" ht="30" x14ac:dyDescent="0.25">
      <c r="A16" s="7" t="s">
        <v>42</v>
      </c>
      <c r="B16" s="2" t="s">
        <v>13</v>
      </c>
      <c r="C16" s="2" t="s">
        <v>43</v>
      </c>
      <c r="D16" s="2" t="s">
        <v>44</v>
      </c>
      <c r="E16" s="1">
        <v>2</v>
      </c>
      <c r="F16" s="1" t="s">
        <v>45</v>
      </c>
      <c r="G16" s="8"/>
    </row>
    <row r="17" spans="1:7" ht="30" x14ac:dyDescent="0.25">
      <c r="A17" s="7" t="s">
        <v>46</v>
      </c>
      <c r="B17" s="2" t="s">
        <v>8</v>
      </c>
      <c r="C17" s="2" t="s">
        <v>9</v>
      </c>
      <c r="D17" s="2" t="s">
        <v>47</v>
      </c>
      <c r="E17" s="1">
        <v>16</v>
      </c>
      <c r="F17" s="1" t="s">
        <v>48</v>
      </c>
      <c r="G17" s="8"/>
    </row>
    <row r="18" spans="1:7" ht="30" x14ac:dyDescent="0.25">
      <c r="A18" s="7" t="s">
        <v>49</v>
      </c>
      <c r="B18" s="2" t="s">
        <v>13</v>
      </c>
      <c r="C18" s="2" t="s">
        <v>36</v>
      </c>
      <c r="D18" s="2" t="s">
        <v>15</v>
      </c>
      <c r="E18" s="1">
        <v>28</v>
      </c>
      <c r="F18" s="1" t="s">
        <v>34</v>
      </c>
      <c r="G18" s="8"/>
    </row>
    <row r="19" spans="1:7" ht="30" x14ac:dyDescent="0.25">
      <c r="A19" s="7" t="s">
        <v>50</v>
      </c>
      <c r="B19" s="2" t="s">
        <v>8</v>
      </c>
      <c r="C19" s="2" t="s">
        <v>9</v>
      </c>
      <c r="D19" s="2" t="s">
        <v>22</v>
      </c>
      <c r="E19" s="1">
        <v>64</v>
      </c>
      <c r="F19" s="1" t="s">
        <v>34</v>
      </c>
      <c r="G19" s="8"/>
    </row>
    <row r="20" spans="1:7" ht="30" x14ac:dyDescent="0.25">
      <c r="A20" s="7" t="s">
        <v>51</v>
      </c>
      <c r="B20" s="2" t="s">
        <v>8</v>
      </c>
      <c r="C20" s="2" t="s">
        <v>40</v>
      </c>
      <c r="D20" s="2" t="s">
        <v>22</v>
      </c>
      <c r="E20" s="1">
        <v>15</v>
      </c>
      <c r="F20" s="1" t="s">
        <v>16</v>
      </c>
      <c r="G20" s="8"/>
    </row>
    <row r="21" spans="1:7" ht="30" x14ac:dyDescent="0.25">
      <c r="A21" s="7" t="s">
        <v>52</v>
      </c>
      <c r="B21" s="2" t="s">
        <v>13</v>
      </c>
      <c r="C21" s="2" t="s">
        <v>14</v>
      </c>
      <c r="D21" s="2" t="s">
        <v>47</v>
      </c>
      <c r="E21" s="1">
        <v>96</v>
      </c>
      <c r="F21" s="1" t="s">
        <v>19</v>
      </c>
      <c r="G21" s="8"/>
    </row>
    <row r="22" spans="1:7" ht="30" x14ac:dyDescent="0.25">
      <c r="A22" s="7" t="s">
        <v>53</v>
      </c>
      <c r="B22" s="2" t="s">
        <v>13</v>
      </c>
      <c r="C22" s="2" t="s">
        <v>43</v>
      </c>
      <c r="D22" s="2" t="s">
        <v>10</v>
      </c>
      <c r="E22" s="1">
        <v>67</v>
      </c>
      <c r="F22" s="1" t="s">
        <v>54</v>
      </c>
      <c r="G22" s="8"/>
    </row>
    <row r="23" spans="1:7" ht="30" x14ac:dyDescent="0.25">
      <c r="A23" s="7" t="s">
        <v>55</v>
      </c>
      <c r="B23" s="2" t="s">
        <v>8</v>
      </c>
      <c r="C23" s="2" t="s">
        <v>40</v>
      </c>
      <c r="D23" s="2" t="s">
        <v>47</v>
      </c>
      <c r="E23" s="1">
        <v>74</v>
      </c>
      <c r="F23" s="1" t="s">
        <v>48</v>
      </c>
      <c r="G23" s="8"/>
    </row>
    <row r="24" spans="1:7" ht="30" x14ac:dyDescent="0.25">
      <c r="A24" s="7" t="s">
        <v>56</v>
      </c>
      <c r="B24" s="2" t="s">
        <v>13</v>
      </c>
      <c r="C24" s="2" t="s">
        <v>21</v>
      </c>
      <c r="D24" s="2" t="s">
        <v>15</v>
      </c>
      <c r="E24" s="1">
        <v>46</v>
      </c>
      <c r="F24" s="1" t="s">
        <v>34</v>
      </c>
      <c r="G24" s="8"/>
    </row>
    <row r="25" spans="1:7" ht="30" x14ac:dyDescent="0.25">
      <c r="A25" s="7" t="s">
        <v>57</v>
      </c>
      <c r="B25" s="2" t="s">
        <v>13</v>
      </c>
      <c r="C25" s="2" t="s">
        <v>43</v>
      </c>
      <c r="D25" s="2" t="s">
        <v>15</v>
      </c>
      <c r="E25" s="1">
        <v>87</v>
      </c>
      <c r="F25" s="1" t="s">
        <v>58</v>
      </c>
      <c r="G25" s="8"/>
    </row>
    <row r="26" spans="1:7" ht="30" x14ac:dyDescent="0.25">
      <c r="A26" s="7" t="s">
        <v>59</v>
      </c>
      <c r="B26" s="2" t="s">
        <v>8</v>
      </c>
      <c r="C26" s="2" t="s">
        <v>9</v>
      </c>
      <c r="D26" s="2" t="s">
        <v>15</v>
      </c>
      <c r="E26" s="1">
        <v>4</v>
      </c>
      <c r="F26" s="1" t="s">
        <v>19</v>
      </c>
      <c r="G26" s="8"/>
    </row>
    <row r="27" spans="1:7" ht="30" x14ac:dyDescent="0.25">
      <c r="A27" s="7" t="s">
        <v>60</v>
      </c>
      <c r="B27" s="2" t="s">
        <v>24</v>
      </c>
      <c r="C27" s="2" t="s">
        <v>25</v>
      </c>
      <c r="D27" s="2" t="s">
        <v>15</v>
      </c>
      <c r="E27" s="1">
        <v>7</v>
      </c>
      <c r="F27" s="1" t="s">
        <v>16</v>
      </c>
      <c r="G27" s="8"/>
    </row>
    <row r="28" spans="1:7" ht="30" x14ac:dyDescent="0.25">
      <c r="A28" s="7" t="s">
        <v>61</v>
      </c>
      <c r="B28" s="2" t="s">
        <v>13</v>
      </c>
      <c r="C28" s="2" t="s">
        <v>18</v>
      </c>
      <c r="D28" s="2" t="s">
        <v>47</v>
      </c>
      <c r="E28" s="1">
        <v>50</v>
      </c>
      <c r="F28" s="1" t="s">
        <v>19</v>
      </c>
      <c r="G28" s="8"/>
    </row>
    <row r="29" spans="1:7" ht="30" x14ac:dyDescent="0.25">
      <c r="A29" s="7" t="s">
        <v>62</v>
      </c>
      <c r="B29" s="2" t="s">
        <v>13</v>
      </c>
      <c r="C29" s="2" t="s">
        <v>29</v>
      </c>
      <c r="D29" s="2" t="s">
        <v>10</v>
      </c>
      <c r="E29" s="1">
        <v>66</v>
      </c>
      <c r="F29" s="1" t="s">
        <v>11</v>
      </c>
      <c r="G29" s="8"/>
    </row>
    <row r="30" spans="1:7" ht="30" x14ac:dyDescent="0.25">
      <c r="A30" s="7" t="s">
        <v>63</v>
      </c>
      <c r="B30" s="2" t="s">
        <v>8</v>
      </c>
      <c r="C30" s="2" t="s">
        <v>38</v>
      </c>
      <c r="D30" s="2" t="s">
        <v>22</v>
      </c>
      <c r="E30" s="1">
        <v>96</v>
      </c>
      <c r="F30" s="1" t="s">
        <v>19</v>
      </c>
      <c r="G30" s="8"/>
    </row>
    <row r="31" spans="1:7" ht="30" x14ac:dyDescent="0.25">
      <c r="A31" s="7" t="s">
        <v>64</v>
      </c>
      <c r="B31" s="2" t="s">
        <v>13</v>
      </c>
      <c r="C31" s="2" t="s">
        <v>21</v>
      </c>
      <c r="D31" s="2" t="s">
        <v>10</v>
      </c>
      <c r="E31" s="1">
        <v>53</v>
      </c>
      <c r="F31" s="1" t="s">
        <v>54</v>
      </c>
      <c r="G31" s="8"/>
    </row>
    <row r="32" spans="1:7" ht="30" x14ac:dyDescent="0.25">
      <c r="A32" s="7" t="s">
        <v>65</v>
      </c>
      <c r="B32" s="2" t="s">
        <v>13</v>
      </c>
      <c r="C32" s="2" t="s">
        <v>21</v>
      </c>
      <c r="D32" s="2" t="s">
        <v>15</v>
      </c>
      <c r="E32" s="1">
        <v>80</v>
      </c>
      <c r="F32" s="1" t="s">
        <v>34</v>
      </c>
      <c r="G32" s="8"/>
    </row>
    <row r="33" spans="1:7" ht="30" x14ac:dyDescent="0.25">
      <c r="A33" s="7" t="s">
        <v>66</v>
      </c>
      <c r="B33" s="2" t="s">
        <v>13</v>
      </c>
      <c r="C33" s="2" t="s">
        <v>14</v>
      </c>
      <c r="D33" s="2" t="s">
        <v>44</v>
      </c>
      <c r="E33" s="1">
        <v>5</v>
      </c>
      <c r="F33" s="1" t="s">
        <v>45</v>
      </c>
      <c r="G33" s="8"/>
    </row>
    <row r="34" spans="1:7" ht="30" x14ac:dyDescent="0.25">
      <c r="A34" s="7" t="s">
        <v>67</v>
      </c>
      <c r="B34" s="2" t="s">
        <v>8</v>
      </c>
      <c r="C34" s="2" t="s">
        <v>9</v>
      </c>
      <c r="D34" s="2" t="s">
        <v>47</v>
      </c>
      <c r="E34" s="1">
        <v>62</v>
      </c>
      <c r="F34" s="1" t="s">
        <v>19</v>
      </c>
      <c r="G34" s="8"/>
    </row>
    <row r="35" spans="1:7" ht="30" x14ac:dyDescent="0.25">
      <c r="A35" s="7" t="s">
        <v>68</v>
      </c>
      <c r="B35" s="2" t="s">
        <v>13</v>
      </c>
      <c r="C35" s="2" t="s">
        <v>36</v>
      </c>
      <c r="D35" s="2" t="s">
        <v>47</v>
      </c>
      <c r="E35" s="1">
        <v>55</v>
      </c>
      <c r="F35" s="1" t="s">
        <v>69</v>
      </c>
      <c r="G35" s="8"/>
    </row>
    <row r="36" spans="1:7" ht="30" x14ac:dyDescent="0.25">
      <c r="A36" s="7" t="s">
        <v>70</v>
      </c>
      <c r="B36" s="2" t="s">
        <v>13</v>
      </c>
      <c r="C36" s="2" t="s">
        <v>14</v>
      </c>
      <c r="D36" s="2" t="s">
        <v>47</v>
      </c>
      <c r="E36" s="1">
        <v>42</v>
      </c>
      <c r="F36" s="1" t="s">
        <v>71</v>
      </c>
      <c r="G36" s="8"/>
    </row>
    <row r="37" spans="1:7" ht="30" x14ac:dyDescent="0.25">
      <c r="A37" s="7" t="s">
        <v>72</v>
      </c>
      <c r="B37" s="2" t="s">
        <v>24</v>
      </c>
      <c r="C37" s="2" t="s">
        <v>25</v>
      </c>
      <c r="D37" s="2" t="s">
        <v>44</v>
      </c>
      <c r="E37" s="1">
        <v>3</v>
      </c>
      <c r="F37" s="1" t="s">
        <v>73</v>
      </c>
      <c r="G37" s="8"/>
    </row>
    <row r="38" spans="1:7" ht="30" x14ac:dyDescent="0.25">
      <c r="A38" s="7" t="s">
        <v>74</v>
      </c>
      <c r="B38" s="2" t="s">
        <v>13</v>
      </c>
      <c r="C38" s="2" t="s">
        <v>21</v>
      </c>
      <c r="D38" s="2" t="s">
        <v>10</v>
      </c>
      <c r="E38" s="1">
        <v>7</v>
      </c>
      <c r="F38" s="1" t="s">
        <v>54</v>
      </c>
      <c r="G38" s="8"/>
    </row>
    <row r="39" spans="1:7" ht="30" x14ac:dyDescent="0.25">
      <c r="A39" s="7" t="s">
        <v>75</v>
      </c>
      <c r="B39" s="2" t="s">
        <v>24</v>
      </c>
      <c r="C39" s="2" t="s">
        <v>25</v>
      </c>
      <c r="D39" s="2" t="s">
        <v>22</v>
      </c>
      <c r="E39" s="1">
        <v>76</v>
      </c>
      <c r="F39" s="1" t="s">
        <v>11</v>
      </c>
      <c r="G39" s="8"/>
    </row>
    <row r="40" spans="1:7" ht="30" x14ac:dyDescent="0.25">
      <c r="A40" s="7" t="s">
        <v>76</v>
      </c>
      <c r="B40" s="2" t="s">
        <v>24</v>
      </c>
      <c r="C40" s="2" t="s">
        <v>32</v>
      </c>
      <c r="D40" s="2" t="s">
        <v>15</v>
      </c>
      <c r="E40" s="1">
        <v>57</v>
      </c>
      <c r="F40" s="1" t="s">
        <v>16</v>
      </c>
      <c r="G40" s="8"/>
    </row>
    <row r="41" spans="1:7" ht="30" x14ac:dyDescent="0.25">
      <c r="A41" s="7" t="s">
        <v>77</v>
      </c>
      <c r="B41" s="2" t="s">
        <v>13</v>
      </c>
      <c r="C41" s="2" t="s">
        <v>29</v>
      </c>
      <c r="D41" s="2" t="s">
        <v>10</v>
      </c>
      <c r="E41" s="1">
        <v>14</v>
      </c>
      <c r="F41" s="1" t="s">
        <v>54</v>
      </c>
      <c r="G41" s="8"/>
    </row>
    <row r="42" spans="1:7" ht="30" x14ac:dyDescent="0.25">
      <c r="A42" s="7" t="s">
        <v>78</v>
      </c>
      <c r="B42" s="2" t="s">
        <v>13</v>
      </c>
      <c r="C42" s="2" t="s">
        <v>18</v>
      </c>
      <c r="D42" s="2" t="s">
        <v>15</v>
      </c>
      <c r="E42" s="1">
        <v>11</v>
      </c>
      <c r="F42" s="1" t="s">
        <v>19</v>
      </c>
      <c r="G42" s="8"/>
    </row>
    <row r="43" spans="1:7" ht="30" x14ac:dyDescent="0.25">
      <c r="A43" s="7" t="s">
        <v>79</v>
      </c>
      <c r="B43" s="2" t="s">
        <v>13</v>
      </c>
      <c r="C43" s="2" t="s">
        <v>18</v>
      </c>
      <c r="D43" s="2" t="s">
        <v>15</v>
      </c>
      <c r="E43" s="1">
        <v>94</v>
      </c>
      <c r="F43" s="1" t="s">
        <v>16</v>
      </c>
      <c r="G43" s="8"/>
    </row>
    <row r="44" spans="1:7" ht="30" x14ac:dyDescent="0.25">
      <c r="A44" s="9" t="s">
        <v>80</v>
      </c>
      <c r="B44" s="10" t="s">
        <v>13</v>
      </c>
      <c r="C44" s="10" t="s">
        <v>29</v>
      </c>
      <c r="D44" s="10" t="s">
        <v>15</v>
      </c>
      <c r="E44" s="11">
        <v>28</v>
      </c>
      <c r="F44" s="11" t="s">
        <v>19</v>
      </c>
      <c r="G4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04DD-68DD-4D17-9A14-BCFD42C48D64}">
  <dimension ref="A1:O36"/>
  <sheetViews>
    <sheetView tabSelected="1" workbookViewId="0">
      <selection activeCell="W11" sqref="W11"/>
    </sheetView>
  </sheetViews>
  <sheetFormatPr defaultRowHeight="15" x14ac:dyDescent="0.25"/>
  <cols>
    <col min="2" max="2" width="13.5703125" customWidth="1"/>
    <col min="4" max="4" width="10.140625" customWidth="1"/>
    <col min="7" max="7" width="10.85546875" customWidth="1"/>
  </cols>
  <sheetData>
    <row r="1" spans="1:8" ht="22.5" x14ac:dyDescent="0.25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7" t="s">
        <v>135</v>
      </c>
    </row>
    <row r="2" spans="1:8" x14ac:dyDescent="0.25">
      <c r="A2" s="15" t="s">
        <v>102</v>
      </c>
      <c r="B2" s="15" t="s">
        <v>103</v>
      </c>
      <c r="C2" s="15" t="s">
        <v>104</v>
      </c>
      <c r="D2" s="15" t="s">
        <v>105</v>
      </c>
      <c r="E2" s="15">
        <v>80</v>
      </c>
      <c r="F2" s="15">
        <v>85</v>
      </c>
      <c r="G2" s="16">
        <v>0.96</v>
      </c>
      <c r="H2" s="18" t="str">
        <f>IF(E2&gt;=50, "Pass", "Fail")</f>
        <v>Pass</v>
      </c>
    </row>
    <row r="3" spans="1:8" x14ac:dyDescent="0.25">
      <c r="A3" s="15" t="s">
        <v>120</v>
      </c>
      <c r="B3" s="15" t="s">
        <v>121</v>
      </c>
      <c r="C3" s="15" t="s">
        <v>104</v>
      </c>
      <c r="D3" s="15" t="s">
        <v>105</v>
      </c>
      <c r="E3" s="15">
        <v>71</v>
      </c>
      <c r="F3" s="15">
        <v>75</v>
      </c>
      <c r="G3" s="16">
        <v>0.94</v>
      </c>
      <c r="H3" s="18" t="str">
        <f>IF(E3&gt;=50, "Pass", "Fail")</f>
        <v>Pass</v>
      </c>
    </row>
    <row r="4" spans="1:8" x14ac:dyDescent="0.25">
      <c r="A4" s="15" t="s">
        <v>108</v>
      </c>
      <c r="B4" s="15" t="s">
        <v>109</v>
      </c>
      <c r="C4" s="15" t="s">
        <v>90</v>
      </c>
      <c r="D4" s="15" t="s">
        <v>94</v>
      </c>
      <c r="E4" s="15">
        <v>77</v>
      </c>
      <c r="F4" s="15">
        <v>81</v>
      </c>
      <c r="G4" s="16">
        <v>0.93</v>
      </c>
      <c r="H4" s="18" t="str">
        <f>IF(E4&gt;=50, "Pass", "Fail")</f>
        <v>Pass</v>
      </c>
    </row>
    <row r="5" spans="1:8" x14ac:dyDescent="0.25">
      <c r="A5" s="15" t="s">
        <v>114</v>
      </c>
      <c r="B5" s="15" t="s">
        <v>115</v>
      </c>
      <c r="C5" s="15" t="s">
        <v>104</v>
      </c>
      <c r="D5" s="15" t="s">
        <v>105</v>
      </c>
      <c r="E5" s="15">
        <v>52</v>
      </c>
      <c r="F5" s="15">
        <v>48</v>
      </c>
      <c r="G5" s="16">
        <v>0.84</v>
      </c>
      <c r="H5" s="18" t="str">
        <f>IF(E5&gt;=50, "Pass", "Fail")</f>
        <v>Pass</v>
      </c>
    </row>
    <row r="6" spans="1:8" x14ac:dyDescent="0.25">
      <c r="A6" s="15" t="s">
        <v>95</v>
      </c>
      <c r="B6" s="15" t="s">
        <v>96</v>
      </c>
      <c r="C6" s="15" t="s">
        <v>97</v>
      </c>
      <c r="D6" s="15" t="s">
        <v>91</v>
      </c>
      <c r="E6" s="15">
        <v>73</v>
      </c>
      <c r="F6" s="15">
        <v>71</v>
      </c>
      <c r="G6" s="16">
        <v>0.88</v>
      </c>
      <c r="H6" s="18" t="str">
        <f>IF(E6&gt;=50, "Pass", "Fail")</f>
        <v>Pass</v>
      </c>
    </row>
    <row r="7" spans="1:8" x14ac:dyDescent="0.25">
      <c r="A7" s="15" t="s">
        <v>98</v>
      </c>
      <c r="B7" s="15" t="s">
        <v>99</v>
      </c>
      <c r="C7" s="15" t="s">
        <v>97</v>
      </c>
      <c r="D7" s="15" t="s">
        <v>94</v>
      </c>
      <c r="E7" s="15">
        <v>91</v>
      </c>
      <c r="F7" s="15">
        <v>94</v>
      </c>
      <c r="G7" s="16">
        <v>0.98</v>
      </c>
      <c r="H7" s="18" t="str">
        <f>IF(E7&gt;=50, "Pass", "Fail")</f>
        <v>Pass</v>
      </c>
    </row>
    <row r="8" spans="1:8" x14ac:dyDescent="0.25">
      <c r="A8" s="15" t="s">
        <v>88</v>
      </c>
      <c r="B8" s="15" t="s">
        <v>89</v>
      </c>
      <c r="C8" s="15" t="s">
        <v>90</v>
      </c>
      <c r="D8" s="15" t="s">
        <v>91</v>
      </c>
      <c r="E8" s="15">
        <v>85</v>
      </c>
      <c r="F8" s="15">
        <v>88</v>
      </c>
      <c r="G8" s="16">
        <v>0.95</v>
      </c>
      <c r="H8" s="18" t="str">
        <f>IF(E8&gt;=50, "Pass", "Fail")</f>
        <v>Pass</v>
      </c>
    </row>
    <row r="9" spans="1:8" x14ac:dyDescent="0.25">
      <c r="A9" s="15" t="s">
        <v>110</v>
      </c>
      <c r="B9" s="15" t="s">
        <v>111</v>
      </c>
      <c r="C9" s="15" t="s">
        <v>97</v>
      </c>
      <c r="D9" s="15" t="s">
        <v>91</v>
      </c>
      <c r="E9" s="15">
        <v>49</v>
      </c>
      <c r="F9" s="15">
        <v>50</v>
      </c>
      <c r="G9" s="16">
        <v>0.87</v>
      </c>
      <c r="H9" s="18" t="str">
        <f>IF(E9&gt;=50, "Pass", "Fail")</f>
        <v>Fail</v>
      </c>
    </row>
    <row r="10" spans="1:8" x14ac:dyDescent="0.25">
      <c r="A10" s="15" t="s">
        <v>122</v>
      </c>
      <c r="B10" s="15" t="s">
        <v>123</v>
      </c>
      <c r="C10" s="15" t="s">
        <v>90</v>
      </c>
      <c r="D10" s="15" t="s">
        <v>94</v>
      </c>
      <c r="E10" s="15">
        <v>35</v>
      </c>
      <c r="F10" s="15">
        <v>40</v>
      </c>
      <c r="G10" s="16">
        <v>0.82</v>
      </c>
      <c r="H10" s="18" t="str">
        <f>IF(E10&gt;=50, "Pass", "Fail")</f>
        <v>Fail</v>
      </c>
    </row>
    <row r="11" spans="1:8" x14ac:dyDescent="0.25">
      <c r="A11" s="15" t="s">
        <v>116</v>
      </c>
      <c r="B11" s="15" t="s">
        <v>117</v>
      </c>
      <c r="C11" s="15" t="s">
        <v>90</v>
      </c>
      <c r="D11" s="15" t="s">
        <v>91</v>
      </c>
      <c r="E11" s="15">
        <v>88</v>
      </c>
      <c r="F11" s="15">
        <v>90</v>
      </c>
      <c r="G11" s="16">
        <v>0.97</v>
      </c>
      <c r="H11" s="18" t="str">
        <f>IF(E11&gt;=50, "Pass", "Fail")</f>
        <v>Pass</v>
      </c>
    </row>
    <row r="12" spans="1:8" x14ac:dyDescent="0.25">
      <c r="A12" s="15" t="s">
        <v>92</v>
      </c>
      <c r="B12" s="15" t="s">
        <v>93</v>
      </c>
      <c r="C12" s="15" t="s">
        <v>90</v>
      </c>
      <c r="D12" s="15" t="s">
        <v>94</v>
      </c>
      <c r="E12" s="15">
        <v>42</v>
      </c>
      <c r="F12" s="15">
        <v>55</v>
      </c>
      <c r="G12" s="16">
        <v>0.91</v>
      </c>
      <c r="H12" s="18" t="str">
        <f>IF(E12&gt;=50, "Pass", "Fail")</f>
        <v>Fail</v>
      </c>
    </row>
    <row r="13" spans="1:8" x14ac:dyDescent="0.25">
      <c r="A13" s="15" t="s">
        <v>100</v>
      </c>
      <c r="B13" s="15" t="s">
        <v>101</v>
      </c>
      <c r="C13" s="15" t="s">
        <v>90</v>
      </c>
      <c r="D13" s="15" t="s">
        <v>91</v>
      </c>
      <c r="E13" s="15">
        <v>58</v>
      </c>
      <c r="F13" s="15">
        <v>62</v>
      </c>
      <c r="G13" s="16">
        <v>0.85</v>
      </c>
      <c r="H13" s="18" t="str">
        <f>IF(E13&gt;=50, "Pass", "Fail")</f>
        <v>Pass</v>
      </c>
    </row>
    <row r="14" spans="1:8" x14ac:dyDescent="0.25">
      <c r="A14" s="15" t="s">
        <v>118</v>
      </c>
      <c r="B14" s="15" t="s">
        <v>119</v>
      </c>
      <c r="C14" s="15" t="s">
        <v>97</v>
      </c>
      <c r="D14" s="15" t="s">
        <v>94</v>
      </c>
      <c r="E14" s="15">
        <v>66</v>
      </c>
      <c r="F14" s="15">
        <v>70</v>
      </c>
      <c r="G14" s="16">
        <v>0.92</v>
      </c>
      <c r="H14" s="18" t="str">
        <f>IF(E14&gt;=50, "Pass", "Fail")</f>
        <v>Pass</v>
      </c>
    </row>
    <row r="15" spans="1:8" x14ac:dyDescent="0.25">
      <c r="A15" s="15" t="s">
        <v>112</v>
      </c>
      <c r="B15" s="15" t="s">
        <v>113</v>
      </c>
      <c r="C15" s="15" t="s">
        <v>97</v>
      </c>
      <c r="D15" s="15" t="s">
        <v>94</v>
      </c>
      <c r="E15" s="15">
        <v>95</v>
      </c>
      <c r="F15" s="15">
        <v>92</v>
      </c>
      <c r="G15" s="16">
        <v>0.99</v>
      </c>
      <c r="H15" s="18" t="str">
        <f>IF(E15&gt;=50, "Pass", "Fail")</f>
        <v>Pass</v>
      </c>
    </row>
    <row r="16" spans="1:8" x14ac:dyDescent="0.25">
      <c r="A16" s="15" t="s">
        <v>106</v>
      </c>
      <c r="B16" s="15" t="s">
        <v>107</v>
      </c>
      <c r="C16" s="15" t="s">
        <v>104</v>
      </c>
      <c r="D16" s="15" t="s">
        <v>105</v>
      </c>
      <c r="E16" s="15">
        <v>64</v>
      </c>
      <c r="F16" s="15">
        <v>59</v>
      </c>
      <c r="G16" s="16">
        <v>0.9</v>
      </c>
      <c r="H16" s="18" t="str">
        <f>IF(E16&gt;=50, "Pass", "Fail")</f>
        <v>Pass</v>
      </c>
    </row>
    <row r="18" spans="5:15" x14ac:dyDescent="0.25">
      <c r="E18" s="13" t="s">
        <v>124</v>
      </c>
      <c r="I18">
        <f>AVERAGE(E2:E16)</f>
        <v>68.400000000000006</v>
      </c>
      <c r="L18" s="13" t="s">
        <v>134</v>
      </c>
      <c r="O18">
        <f>SUM(E2:E16)</f>
        <v>1026</v>
      </c>
    </row>
    <row r="20" spans="5:15" x14ac:dyDescent="0.25">
      <c r="E20" s="13" t="s">
        <v>125</v>
      </c>
      <c r="I20">
        <f>MAX(F2:F16)</f>
        <v>94</v>
      </c>
    </row>
    <row r="22" spans="5:15" x14ac:dyDescent="0.25">
      <c r="E22" s="13" t="s">
        <v>126</v>
      </c>
      <c r="I22">
        <f>MIN(F2:F16)</f>
        <v>40</v>
      </c>
    </row>
    <row r="24" spans="5:15" x14ac:dyDescent="0.25">
      <c r="E24" s="13" t="s">
        <v>127</v>
      </c>
    </row>
    <row r="26" spans="5:15" x14ac:dyDescent="0.25">
      <c r="E26" s="13" t="s">
        <v>128</v>
      </c>
      <c r="I26">
        <f>COUNT(E2:E16)</f>
        <v>15</v>
      </c>
    </row>
    <row r="28" spans="5:15" x14ac:dyDescent="0.25">
      <c r="E28" s="13" t="s">
        <v>129</v>
      </c>
      <c r="I28">
        <f>COUNTIF(C2:C16,C3)</f>
        <v>4</v>
      </c>
    </row>
    <row r="30" spans="5:15" x14ac:dyDescent="0.25">
      <c r="E30" s="13" t="s">
        <v>130</v>
      </c>
      <c r="I30">
        <f>COUNTIF(H2:H16,"Fail")</f>
        <v>3</v>
      </c>
    </row>
    <row r="32" spans="5:15" x14ac:dyDescent="0.25">
      <c r="E32" s="13" t="s">
        <v>131</v>
      </c>
      <c r="I32">
        <f>COUNTIF(H2:H16,"Pass")</f>
        <v>12</v>
      </c>
    </row>
    <row r="34" spans="5:5" x14ac:dyDescent="0.25">
      <c r="E34" s="13" t="s">
        <v>132</v>
      </c>
    </row>
    <row r="36" spans="5:5" x14ac:dyDescent="0.25">
      <c r="E36" s="13" t="s">
        <v>133</v>
      </c>
    </row>
  </sheetData>
  <autoFilter ref="D1:D16" xr:uid="{05C104DD-68DD-4D17-9A14-BCFD42C48D64}"/>
  <sortState xmlns:xlrd2="http://schemas.microsoft.com/office/spreadsheetml/2017/richdata2" ref="A2:H16">
    <sortCondition ref="B2:B16"/>
  </sortState>
  <conditionalFormatting sqref="G2:G16">
    <cfRule type="cellIs" dxfId="0" priority="1" operator="lessThan">
      <formula>0.9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337cfe-44bb-485c-bc41-63f45b69a1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BDFD7E30D790448DF27641594DFBA2" ma:contentTypeVersion="6" ma:contentTypeDescription="Create a new document." ma:contentTypeScope="" ma:versionID="a423b76c1af50f179eb6412c88c409d1">
  <xsd:schema xmlns:xsd="http://www.w3.org/2001/XMLSchema" xmlns:xs="http://www.w3.org/2001/XMLSchema" xmlns:p="http://schemas.microsoft.com/office/2006/metadata/properties" xmlns:ns3="a6337cfe-44bb-485c-bc41-63f45b69a163" targetNamespace="http://schemas.microsoft.com/office/2006/metadata/properties" ma:root="true" ma:fieldsID="32656d4269bb1983712eb68daeffc31b" ns3:_="">
    <xsd:import namespace="a6337cfe-44bb-485c-bc41-63f45b69a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37cfe-44bb-485c-bc41-63f45b69a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AC86D2-D71C-47FD-BE3E-A20E4C386E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C174D-B5E3-49E3-9E62-A821C5C0ED5A}">
  <ds:schemaRefs>
    <ds:schemaRef ds:uri="a6337cfe-44bb-485c-bc41-63f45b69a163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17023D0-6A0A-4DDC-959D-2A286CF25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337cfe-44bb-485c-bc41-63f45b69a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10c8f44-f469-448f-bc0d-d781288ff01b}" enabled="0" method="" siteId="{e10c8f44-f469-448f-bc0d-d781288ff0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STudent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Emilda Hove</dc:creator>
  <cp:keywords/>
  <dc:description/>
  <cp:lastModifiedBy>Siphosethu Nomthandazo Nkala</cp:lastModifiedBy>
  <cp:revision/>
  <dcterms:created xsi:type="dcterms:W3CDTF">2026-08-05T03:59:14Z</dcterms:created>
  <dcterms:modified xsi:type="dcterms:W3CDTF">2026-08-05T09:40:10Z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0x01010025BDFD7E30D790448DF27641594DFBA2</vt:lpwstr>
  </property>
</Properties>
</file>